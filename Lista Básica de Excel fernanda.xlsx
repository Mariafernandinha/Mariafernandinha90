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E5D6E6CE-51C0-46DF-B4FD-72875DAAB594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Table 1" sheetId="1" r:id="rId1"/>
    <sheet name="Table 4" sheetId="4" r:id="rId2"/>
    <sheet name="Table 8" sheetId="8" r:id="rId3"/>
    <sheet name="Table 11" sheetId="11" r:id="rId4"/>
    <sheet name="Table 13" sheetId="13" r:id="rId5"/>
    <sheet name="Table 15" sheetId="15" r:id="rId6"/>
  </sheets>
  <calcPr calcId="191029"/>
</workbook>
</file>

<file path=xl/calcChain.xml><?xml version="1.0" encoding="utf-8"?>
<calcChain xmlns="http://schemas.openxmlformats.org/spreadsheetml/2006/main">
  <c r="K27" i="4" l="1"/>
  <c r="K26" i="4"/>
  <c r="K25" i="4"/>
  <c r="K22" i="4"/>
  <c r="K21" i="4"/>
  <c r="K20" i="4"/>
  <c r="I27" i="4"/>
  <c r="I26" i="4"/>
  <c r="I25" i="4"/>
  <c r="I22" i="4"/>
  <c r="I21" i="4"/>
  <c r="I20" i="4"/>
  <c r="K17" i="4"/>
  <c r="J17" i="4"/>
  <c r="H17" i="4"/>
  <c r="F17" i="4"/>
  <c r="D17" i="4"/>
  <c r="K15" i="4"/>
  <c r="J15" i="4"/>
  <c r="H15" i="4"/>
  <c r="F15" i="4"/>
  <c r="D15" i="4"/>
  <c r="J24" i="1"/>
  <c r="I24" i="1"/>
  <c r="H24" i="1"/>
  <c r="G24" i="1"/>
  <c r="F24" i="1"/>
  <c r="E24" i="1"/>
  <c r="D24" i="1"/>
  <c r="J22" i="1"/>
  <c r="I22" i="1"/>
  <c r="H22" i="1"/>
  <c r="G22" i="1"/>
  <c r="F22" i="1"/>
  <c r="E22" i="1"/>
  <c r="D22" i="1"/>
  <c r="J12" i="1"/>
  <c r="I12" i="1"/>
  <c r="H12" i="1"/>
  <c r="G12" i="1"/>
  <c r="F12" i="1"/>
  <c r="E12" i="1"/>
  <c r="D12" i="1"/>
  <c r="J20" i="1"/>
  <c r="J19" i="1"/>
  <c r="J18" i="1"/>
  <c r="J17" i="1"/>
  <c r="J16" i="1"/>
  <c r="J15" i="1"/>
  <c r="I20" i="1"/>
  <c r="I19" i="1"/>
  <c r="I18" i="1"/>
  <c r="I17" i="1"/>
  <c r="I16" i="1"/>
  <c r="I15" i="1"/>
  <c r="H20" i="1"/>
  <c r="H19" i="1"/>
  <c r="H18" i="1"/>
  <c r="H17" i="1"/>
  <c r="H16" i="1"/>
  <c r="H15" i="1"/>
  <c r="G20" i="1"/>
  <c r="G19" i="1"/>
  <c r="G18" i="1"/>
  <c r="G17" i="1"/>
  <c r="G16" i="1"/>
  <c r="G15" i="1"/>
  <c r="J10" i="1"/>
  <c r="J9" i="1"/>
  <c r="J8" i="1"/>
  <c r="J7" i="1"/>
  <c r="J6" i="1"/>
  <c r="J5" i="1"/>
  <c r="I10" i="1"/>
  <c r="I9" i="1"/>
  <c r="I8" i="1"/>
  <c r="I7" i="1"/>
  <c r="I6" i="1"/>
  <c r="I5" i="1"/>
  <c r="H8" i="1"/>
  <c r="H10" i="1"/>
  <c r="H9" i="1"/>
  <c r="H7" i="1"/>
  <c r="H6" i="1"/>
  <c r="H5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<sst xmlns="http://schemas.openxmlformats.org/spreadsheetml/2006/main" count="241" uniqueCount="211">
  <si>
    <r>
      <rPr>
        <b/>
        <sz val="9.5"/>
        <rFont val="Arial"/>
        <family val="2"/>
      </rPr>
      <t>Código</t>
    </r>
  </si>
  <si>
    <r>
      <rPr>
        <b/>
        <sz val="9.5"/>
        <rFont val="Arial"/>
        <family val="2"/>
      </rPr>
      <t>Produto</t>
    </r>
  </si>
  <si>
    <r>
      <rPr>
        <b/>
        <sz val="9.5"/>
        <rFont val="Arial"/>
        <family val="2"/>
      </rPr>
      <t>Jan</t>
    </r>
  </si>
  <si>
    <r>
      <rPr>
        <b/>
        <sz val="9.5"/>
        <rFont val="Arial"/>
        <family val="2"/>
      </rPr>
      <t>Fev</t>
    </r>
  </si>
  <si>
    <r>
      <rPr>
        <b/>
        <sz val="9.5"/>
        <rFont val="Arial"/>
        <family val="2"/>
      </rPr>
      <t>Mar</t>
    </r>
  </si>
  <si>
    <r>
      <rPr>
        <b/>
        <sz val="9.5"/>
        <rFont val="Arial"/>
        <family val="2"/>
      </rPr>
      <t>Total 1º Trim.</t>
    </r>
  </si>
  <si>
    <r>
      <rPr>
        <b/>
        <sz val="9.5"/>
        <rFont val="Arial"/>
        <family val="2"/>
      </rPr>
      <t>Máximo</t>
    </r>
  </si>
  <si>
    <r>
      <rPr>
        <b/>
        <sz val="9.5"/>
        <rFont val="Arial"/>
        <family val="2"/>
      </rPr>
      <t>Mínimo</t>
    </r>
  </si>
  <si>
    <r>
      <rPr>
        <b/>
        <sz val="9.5"/>
        <rFont val="Arial"/>
        <family val="2"/>
      </rPr>
      <t>Média</t>
    </r>
  </si>
  <si>
    <r>
      <rPr>
        <sz val="9.5"/>
        <rFont val="Arial MT"/>
        <family val="2"/>
      </rPr>
      <t>Porca</t>
    </r>
  </si>
  <si>
    <r>
      <rPr>
        <sz val="9.5"/>
        <rFont val="Arial MT"/>
        <family val="2"/>
      </rPr>
      <t>Parafuso</t>
    </r>
  </si>
  <si>
    <r>
      <rPr>
        <sz val="9.5"/>
        <rFont val="Arial MT"/>
        <family val="2"/>
      </rPr>
      <t>Arruela</t>
    </r>
  </si>
  <si>
    <r>
      <rPr>
        <sz val="9.5"/>
        <rFont val="Arial MT"/>
        <family val="2"/>
      </rPr>
      <t>Prego</t>
    </r>
  </si>
  <si>
    <r>
      <rPr>
        <sz val="9.5"/>
        <rFont val="Arial MT"/>
        <family val="2"/>
      </rPr>
      <t>Alicate</t>
    </r>
  </si>
  <si>
    <r>
      <rPr>
        <sz val="9.5"/>
        <rFont val="Arial MT"/>
        <family val="2"/>
      </rPr>
      <t>Martelo</t>
    </r>
  </si>
  <si>
    <r>
      <rPr>
        <b/>
        <sz val="9.5"/>
        <rFont val="Arial"/>
        <family val="2"/>
      </rPr>
      <t>Totais</t>
    </r>
  </si>
  <si>
    <r>
      <rPr>
        <b/>
        <sz val="9.5"/>
        <rFont val="Arial"/>
        <family val="2"/>
      </rPr>
      <t>Abr</t>
    </r>
  </si>
  <si>
    <r>
      <rPr>
        <b/>
        <sz val="9.5"/>
        <rFont val="Arial"/>
        <family val="2"/>
      </rPr>
      <t>Mai</t>
    </r>
  </si>
  <si>
    <r>
      <rPr>
        <b/>
        <sz val="9.5"/>
        <rFont val="Arial"/>
        <family val="2"/>
      </rPr>
      <t>Jun</t>
    </r>
  </si>
  <si>
    <r>
      <rPr>
        <b/>
        <sz val="9.5"/>
        <rFont val="Arial"/>
        <family val="2"/>
      </rPr>
      <t>Total 2º Trim.</t>
    </r>
  </si>
  <si>
    <r>
      <rPr>
        <b/>
        <sz val="9.5"/>
        <rFont val="Arial"/>
        <family val="2"/>
      </rPr>
      <t xml:space="preserve">Total do
</t>
    </r>
    <r>
      <rPr>
        <b/>
        <sz val="9.5"/>
        <rFont val="Arial"/>
        <family val="2"/>
      </rPr>
      <t>Semestre</t>
    </r>
  </si>
  <si>
    <r>
      <rPr>
        <sz val="9.5"/>
        <rFont val="Arial MT"/>
        <family val="2"/>
      </rPr>
      <t>JANEIRO</t>
    </r>
  </si>
  <si>
    <r>
      <rPr>
        <sz val="9.5"/>
        <rFont val="Arial MT"/>
        <family val="2"/>
      </rPr>
      <t>FEVEREIRO</t>
    </r>
  </si>
  <si>
    <r>
      <rPr>
        <sz val="9.5"/>
        <rFont val="Arial MT"/>
        <family val="2"/>
      </rPr>
      <t>MARÇO</t>
    </r>
  </si>
  <si>
    <r>
      <rPr>
        <sz val="9.5"/>
        <rFont val="Arial MT"/>
        <family val="2"/>
      </rPr>
      <t>ABRIL</t>
    </r>
  </si>
  <si>
    <r>
      <rPr>
        <sz val="9.5"/>
        <rFont val="Arial MT"/>
        <family val="2"/>
      </rPr>
      <t>JUNHO</t>
    </r>
  </si>
  <si>
    <r>
      <rPr>
        <sz val="9.5"/>
        <rFont val="Arial MT"/>
        <family val="2"/>
      </rPr>
      <t>SALÁRIO</t>
    </r>
  </si>
  <si>
    <r>
      <rPr>
        <sz val="9.5"/>
        <rFont val="Arial MT"/>
        <family val="2"/>
      </rPr>
      <t>CONTAS</t>
    </r>
  </si>
  <si>
    <r>
      <rPr>
        <sz val="9.5"/>
        <rFont val="Arial MT"/>
        <family val="2"/>
      </rPr>
      <t>ÁGUA</t>
    </r>
  </si>
  <si>
    <r>
      <rPr>
        <sz val="9.5"/>
        <rFont val="Arial MT"/>
        <family val="2"/>
      </rPr>
      <t>LUZ</t>
    </r>
  </si>
  <si>
    <r>
      <rPr>
        <sz val="9.5"/>
        <rFont val="Arial MT"/>
        <family val="2"/>
      </rPr>
      <t>ESCOLA</t>
    </r>
  </si>
  <si>
    <r>
      <rPr>
        <sz val="9.5"/>
        <rFont val="Arial MT"/>
        <family val="2"/>
      </rPr>
      <t>IPTU</t>
    </r>
  </si>
  <si>
    <r>
      <rPr>
        <sz val="9.5"/>
        <rFont val="Arial MT"/>
        <family val="2"/>
      </rPr>
      <t>IPVA</t>
    </r>
  </si>
  <si>
    <r>
      <rPr>
        <sz val="9.5"/>
        <rFont val="Arial MT"/>
        <family val="2"/>
      </rPr>
      <t>SHOPPING</t>
    </r>
  </si>
  <si>
    <r>
      <rPr>
        <sz val="9.5"/>
        <rFont val="Arial MT"/>
        <family val="2"/>
      </rPr>
      <t>COMBUSTÍVEL</t>
    </r>
  </si>
  <si>
    <r>
      <rPr>
        <sz val="9.5"/>
        <rFont val="Arial MT"/>
        <family val="2"/>
      </rPr>
      <t>ACADEMIA</t>
    </r>
  </si>
  <si>
    <r>
      <rPr>
        <sz val="9.5"/>
        <rFont val="Arial MT"/>
        <family val="2"/>
      </rPr>
      <t>TOTAL DE CONTAS</t>
    </r>
  </si>
  <si>
    <r>
      <rPr>
        <sz val="9.5"/>
        <rFont val="Arial MT"/>
        <family val="2"/>
      </rPr>
      <t>SALDO</t>
    </r>
  </si>
  <si>
    <r>
      <rPr>
        <sz val="9.5"/>
        <rFont val="Arial MT"/>
        <family val="2"/>
      </rPr>
      <t>Nº</t>
    </r>
  </si>
  <si>
    <r>
      <rPr>
        <sz val="9.5"/>
        <rFont val="Arial MT"/>
        <family val="2"/>
      </rPr>
      <t>NOME</t>
    </r>
  </si>
  <si>
    <r>
      <rPr>
        <sz val="9.5"/>
        <rFont val="Arial MT"/>
        <family val="2"/>
      </rPr>
      <t>Salário Bruto</t>
    </r>
  </si>
  <si>
    <r>
      <rPr>
        <sz val="9.5"/>
        <rFont val="Arial MT"/>
        <family val="2"/>
      </rPr>
      <t>INSS</t>
    </r>
  </si>
  <si>
    <r>
      <rPr>
        <sz val="9.5"/>
        <rFont val="Arial MT"/>
        <family val="2"/>
      </rPr>
      <t>Gratificação</t>
    </r>
  </si>
  <si>
    <r>
      <rPr>
        <sz val="9.5"/>
        <rFont val="Arial MT"/>
        <family val="2"/>
      </rPr>
      <t>INSS R$</t>
    </r>
  </si>
  <si>
    <r>
      <rPr>
        <sz val="9.5"/>
        <rFont val="Arial MT"/>
        <family val="2"/>
      </rPr>
      <t>Salário Líquido</t>
    </r>
  </si>
  <si>
    <r>
      <rPr>
        <sz val="9.5"/>
        <rFont val="Arial MT"/>
        <family val="2"/>
      </rPr>
      <t>Eduardo</t>
    </r>
  </si>
  <si>
    <r>
      <rPr>
        <sz val="9.5"/>
        <rFont val="Arial MT"/>
        <family val="2"/>
      </rPr>
      <t>Maria</t>
    </r>
  </si>
  <si>
    <r>
      <rPr>
        <sz val="9.5"/>
        <rFont val="Arial MT"/>
        <family val="2"/>
      </rPr>
      <t>Helena</t>
    </r>
  </si>
  <si>
    <r>
      <rPr>
        <sz val="9.5"/>
        <rFont val="Arial MT"/>
        <family val="2"/>
      </rPr>
      <t>Gabriela</t>
    </r>
  </si>
  <si>
    <r>
      <rPr>
        <sz val="9.5"/>
        <rFont val="Arial MT"/>
        <family val="2"/>
      </rPr>
      <t>Elisangela</t>
    </r>
  </si>
  <si>
    <r>
      <rPr>
        <sz val="9.5"/>
        <rFont val="Arial MT"/>
        <family val="2"/>
      </rPr>
      <t>Regina</t>
    </r>
  </si>
  <si>
    <r>
      <rPr>
        <sz val="9.5"/>
        <rFont val="Arial MT"/>
        <family val="2"/>
      </rPr>
      <t>Paulo</t>
    </r>
  </si>
  <si>
    <r>
      <rPr>
        <sz val="9.5"/>
        <rFont val="Arial MT"/>
        <family val="2"/>
      </rPr>
      <t>Valor do Dólar</t>
    </r>
  </si>
  <si>
    <r>
      <rPr>
        <sz val="9.5"/>
        <rFont val="Arial MT"/>
        <family val="2"/>
      </rPr>
      <t>Papelaria Papel Branco</t>
    </r>
  </si>
  <si>
    <r>
      <rPr>
        <sz val="9.5"/>
        <rFont val="Arial MT"/>
        <family val="2"/>
      </rPr>
      <t>Produtos</t>
    </r>
  </si>
  <si>
    <r>
      <rPr>
        <sz val="9.5"/>
        <rFont val="Arial MT"/>
        <family val="2"/>
      </rPr>
      <t>Qtde</t>
    </r>
  </si>
  <si>
    <r>
      <rPr>
        <sz val="9.5"/>
        <rFont val="Arial MT"/>
        <family val="2"/>
      </rPr>
      <t>Preço Unit.</t>
    </r>
  </si>
  <si>
    <r>
      <rPr>
        <sz val="9.5"/>
        <rFont val="Arial MT"/>
        <family val="2"/>
      </rPr>
      <t>Total R$</t>
    </r>
  </si>
  <si>
    <r>
      <rPr>
        <sz val="9.5"/>
        <rFont val="Arial MT"/>
        <family val="2"/>
      </rPr>
      <t>Total US$</t>
    </r>
  </si>
  <si>
    <r>
      <rPr>
        <sz val="9.5"/>
        <rFont val="Arial MT"/>
        <family val="2"/>
      </rPr>
      <t>Caneta Azul</t>
    </r>
  </si>
  <si>
    <r>
      <rPr>
        <sz val="9.5"/>
        <rFont val="Arial MT"/>
        <family val="2"/>
      </rPr>
      <t>Caneta Vermelha</t>
    </r>
  </si>
  <si>
    <r>
      <rPr>
        <sz val="9.5"/>
        <rFont val="Arial MT"/>
        <family val="2"/>
      </rPr>
      <t>Caderno</t>
    </r>
  </si>
  <si>
    <r>
      <rPr>
        <sz val="9.5"/>
        <rFont val="Arial MT"/>
        <family val="2"/>
      </rPr>
      <t>Régua</t>
    </r>
  </si>
  <si>
    <r>
      <rPr>
        <sz val="9.5"/>
        <rFont val="Arial MT"/>
        <family val="2"/>
      </rPr>
      <t>Lápis</t>
    </r>
  </si>
  <si>
    <r>
      <rPr>
        <sz val="9.5"/>
        <rFont val="Arial MT"/>
        <family val="2"/>
      </rPr>
      <t>Papel Sulfite</t>
    </r>
  </si>
  <si>
    <r>
      <rPr>
        <sz val="9.5"/>
        <rFont val="Arial MT"/>
        <family val="2"/>
      </rPr>
      <t>Tinta Nanquim</t>
    </r>
  </si>
  <si>
    <r>
      <rPr>
        <sz val="9.5"/>
        <rFont val="Arial MT"/>
        <family val="2"/>
      </rPr>
      <t>Receita bruta</t>
    </r>
  </si>
  <si>
    <r>
      <rPr>
        <sz val="9.5"/>
        <rFont val="Arial MT"/>
        <family val="2"/>
      </rPr>
      <t>Jan-Mar</t>
    </r>
  </si>
  <si>
    <r>
      <rPr>
        <sz val="9.5"/>
        <rFont val="Arial MT"/>
        <family val="2"/>
      </rPr>
      <t>Abr-Jun</t>
    </r>
  </si>
  <si>
    <r>
      <rPr>
        <sz val="9.5"/>
        <rFont val="Arial MT"/>
        <family val="2"/>
      </rPr>
      <t>Jul-Set</t>
    </r>
  </si>
  <si>
    <r>
      <rPr>
        <sz val="9.5"/>
        <rFont val="Arial MT"/>
        <family val="2"/>
      </rPr>
      <t>Total do Ano</t>
    </r>
  </si>
  <si>
    <r>
      <rPr>
        <sz val="9.5"/>
        <rFont val="Arial MT"/>
        <family val="2"/>
      </rPr>
      <t>Despesa Líquida</t>
    </r>
  </si>
  <si>
    <r>
      <rPr>
        <sz val="9.5"/>
        <rFont val="Arial MT"/>
        <family val="2"/>
      </rPr>
      <t>Salários</t>
    </r>
  </si>
  <si>
    <r>
      <rPr>
        <sz val="9.5"/>
        <rFont val="Arial MT"/>
        <family val="2"/>
      </rPr>
      <t>Juros</t>
    </r>
  </si>
  <si>
    <r>
      <rPr>
        <sz val="9.5"/>
        <rFont val="Arial MT"/>
        <family val="2"/>
      </rPr>
      <t>Aluguel</t>
    </r>
  </si>
  <si>
    <r>
      <rPr>
        <sz val="9.5"/>
        <rFont val="Arial MT"/>
        <family val="2"/>
      </rPr>
      <t>Propaganda</t>
    </r>
  </si>
  <si>
    <r>
      <rPr>
        <sz val="9.5"/>
        <rFont val="Arial MT"/>
        <family val="2"/>
      </rPr>
      <t>Suprimentos</t>
    </r>
  </si>
  <si>
    <r>
      <rPr>
        <sz val="9.5"/>
        <rFont val="Arial MT"/>
        <family val="2"/>
      </rPr>
      <t>Diversos</t>
    </r>
  </si>
  <si>
    <r>
      <rPr>
        <sz val="9.5"/>
        <rFont val="Arial MT"/>
        <family val="2"/>
      </rPr>
      <t>Receita líquida</t>
    </r>
  </si>
  <si>
    <r>
      <rPr>
        <sz val="9.5"/>
        <rFont val="Arial MT"/>
        <family val="2"/>
      </rPr>
      <t>Situação</t>
    </r>
  </si>
  <si>
    <r>
      <rPr>
        <sz val="9.5"/>
        <rFont val="Arial MT"/>
        <family val="2"/>
      </rPr>
      <t>Valor Acumulado do ano de despesas</t>
    </r>
  </si>
  <si>
    <r>
      <rPr>
        <sz val="9.5"/>
        <rFont val="Arial MT"/>
        <family val="2"/>
      </rPr>
      <t>Nome</t>
    </r>
  </si>
  <si>
    <r>
      <rPr>
        <sz val="9.5"/>
        <rFont val="Arial MT"/>
        <family val="2"/>
      </rPr>
      <t>João dos Santos</t>
    </r>
  </si>
  <si>
    <r>
      <rPr>
        <sz val="9.5"/>
        <rFont val="Arial MT"/>
        <family val="2"/>
      </rPr>
      <t>R$      900,00</t>
    </r>
  </si>
  <si>
    <r>
      <rPr>
        <sz val="9.5"/>
        <rFont val="Arial MT"/>
        <family val="2"/>
      </rPr>
      <t>R$      360,00</t>
    </r>
  </si>
  <si>
    <r>
      <rPr>
        <sz val="9.5"/>
        <rFont val="Arial MT"/>
        <family val="2"/>
      </rPr>
      <t>R$   1.260,00</t>
    </r>
  </si>
  <si>
    <r>
      <rPr>
        <sz val="9.5"/>
        <rFont val="Arial MT"/>
        <family val="2"/>
      </rPr>
      <t>Maria da Silva</t>
    </r>
  </si>
  <si>
    <r>
      <rPr>
        <sz val="9.5"/>
        <rFont val="Arial MT"/>
        <family val="2"/>
      </rPr>
      <t>R$   1.200,00</t>
    </r>
  </si>
  <si>
    <r>
      <rPr>
        <sz val="9.5"/>
        <rFont val="Arial MT"/>
        <family val="2"/>
      </rPr>
      <t>Até 1000,00</t>
    </r>
  </si>
  <si>
    <r>
      <rPr>
        <sz val="9.5"/>
        <rFont val="Arial MT"/>
        <family val="2"/>
      </rPr>
      <t>Manoel das Flores</t>
    </r>
  </si>
  <si>
    <r>
      <rPr>
        <sz val="9.5"/>
        <rFont val="Arial MT"/>
        <family val="2"/>
      </rPr>
      <t>R$   1.500,00</t>
    </r>
  </si>
  <si>
    <r>
      <rPr>
        <sz val="9.5"/>
        <rFont val="Arial MT"/>
        <family val="2"/>
      </rPr>
      <t>mais 1000,00</t>
    </r>
  </si>
  <si>
    <r>
      <rPr>
        <sz val="9.5"/>
        <rFont val="Arial MT"/>
        <family val="2"/>
      </rPr>
      <t>Lambarildo Peixe</t>
    </r>
  </si>
  <si>
    <r>
      <rPr>
        <sz val="9.5"/>
        <rFont val="Arial MT"/>
        <family val="2"/>
      </rPr>
      <t>R$   2.000,00</t>
    </r>
  </si>
  <si>
    <r>
      <rPr>
        <sz val="9.5"/>
        <rFont val="Arial MT"/>
        <family val="2"/>
      </rPr>
      <t>Sebastião Souza</t>
    </r>
  </si>
  <si>
    <r>
      <rPr>
        <sz val="9.5"/>
        <rFont val="Arial MT"/>
        <family val="2"/>
      </rPr>
      <t>R$   1.400,00</t>
    </r>
  </si>
  <si>
    <r>
      <rPr>
        <sz val="9.5"/>
        <rFont val="Arial MT"/>
        <family val="2"/>
      </rPr>
      <t>Ana Flávia Silveira</t>
    </r>
  </si>
  <si>
    <r>
      <rPr>
        <sz val="9.5"/>
        <rFont val="Arial MT"/>
        <family val="2"/>
      </rPr>
      <t>R$      990,00</t>
    </r>
  </si>
  <si>
    <r>
      <rPr>
        <sz val="9.5"/>
        <rFont val="Arial MT"/>
        <family val="2"/>
      </rPr>
      <t>Silvia Helena Santos</t>
    </r>
  </si>
  <si>
    <r>
      <rPr>
        <sz val="9.5"/>
        <rFont val="Arial MT"/>
        <family val="2"/>
      </rPr>
      <t>R$      854,00</t>
    </r>
  </si>
  <si>
    <r>
      <rPr>
        <sz val="9.5"/>
        <rFont val="Arial MT"/>
        <family val="2"/>
      </rPr>
      <t>Alberto Roberto</t>
    </r>
  </si>
  <si>
    <r>
      <rPr>
        <sz val="9.5"/>
        <rFont val="Arial MT"/>
        <family val="2"/>
      </rPr>
      <t>R$   1.100,00</t>
    </r>
  </si>
  <si>
    <r>
      <rPr>
        <b/>
        <sz val="9.5"/>
        <rFont val="Arial"/>
        <family val="2"/>
      </rPr>
      <t>Nome</t>
    </r>
  </si>
  <si>
    <r>
      <rPr>
        <b/>
        <sz val="9.5"/>
        <rFont val="Arial"/>
        <family val="2"/>
      </rPr>
      <t>Endereço</t>
    </r>
  </si>
  <si>
    <r>
      <rPr>
        <b/>
        <sz val="9.5"/>
        <rFont val="Arial"/>
        <family val="2"/>
      </rPr>
      <t>Bairro</t>
    </r>
  </si>
  <si>
    <r>
      <rPr>
        <b/>
        <sz val="9.5"/>
        <rFont val="Arial"/>
        <family val="2"/>
      </rPr>
      <t>Cidade</t>
    </r>
  </si>
  <si>
    <r>
      <rPr>
        <b/>
        <sz val="9.5"/>
        <rFont val="Arial"/>
        <family val="2"/>
      </rPr>
      <t>Estado</t>
    </r>
  </si>
  <si>
    <r>
      <rPr>
        <sz val="9.5"/>
        <rFont val="Arial MT"/>
        <family val="2"/>
      </rPr>
      <t>Ana</t>
    </r>
  </si>
  <si>
    <r>
      <rPr>
        <sz val="9.5"/>
        <rFont val="Arial MT"/>
        <family val="2"/>
      </rPr>
      <t>Rodovia Anhanguera, km 180</t>
    </r>
  </si>
  <si>
    <r>
      <rPr>
        <sz val="9.5"/>
        <rFont val="Arial MT"/>
        <family val="2"/>
      </rPr>
      <t>Centro</t>
    </r>
  </si>
  <si>
    <r>
      <rPr>
        <sz val="9.5"/>
        <rFont val="Arial MT"/>
        <family val="2"/>
      </rPr>
      <t>Leme</t>
    </r>
  </si>
  <si>
    <r>
      <rPr>
        <sz val="9.5"/>
        <rFont val="Arial MT"/>
        <family val="2"/>
      </rPr>
      <t>SP</t>
    </r>
  </si>
  <si>
    <r>
      <rPr>
        <sz val="9.5"/>
        <rFont val="Arial MT"/>
        <family val="2"/>
      </rPr>
      <t>R. Antônio de Castro, 362</t>
    </r>
  </si>
  <si>
    <r>
      <rPr>
        <sz val="9.5"/>
        <rFont val="Arial MT"/>
        <family val="2"/>
      </rPr>
      <t>São Benedito</t>
    </r>
  </si>
  <si>
    <r>
      <rPr>
        <sz val="9.5"/>
        <rFont val="Arial MT"/>
        <family val="2"/>
      </rPr>
      <t>Araras</t>
    </r>
  </si>
  <si>
    <r>
      <rPr>
        <sz val="9.5"/>
        <rFont val="Arial MT"/>
        <family val="2"/>
      </rPr>
      <t>Érica</t>
    </r>
  </si>
  <si>
    <r>
      <rPr>
        <sz val="9.5"/>
        <rFont val="Arial MT"/>
        <family val="2"/>
      </rPr>
      <t>R. Tiradentes, 123</t>
    </r>
  </si>
  <si>
    <r>
      <rPr>
        <sz val="9.5"/>
        <rFont val="Arial MT"/>
        <family val="2"/>
      </rPr>
      <t>Salvador</t>
    </r>
  </si>
  <si>
    <r>
      <rPr>
        <sz val="9.5"/>
        <rFont val="Arial MT"/>
        <family val="2"/>
      </rPr>
      <t>BA</t>
    </r>
  </si>
  <si>
    <r>
      <rPr>
        <sz val="9.5"/>
        <rFont val="Arial MT"/>
        <family val="2"/>
      </rPr>
      <t>Fernanda</t>
    </r>
  </si>
  <si>
    <r>
      <rPr>
        <sz val="9.5"/>
        <rFont val="Arial MT"/>
        <family val="2"/>
      </rPr>
      <t>Av. Orozimbo Maia, 987</t>
    </r>
  </si>
  <si>
    <r>
      <rPr>
        <sz val="9.5"/>
        <rFont val="Arial MT"/>
        <family val="2"/>
      </rPr>
      <t>Jd. Nova Campinas</t>
    </r>
  </si>
  <si>
    <r>
      <rPr>
        <sz val="9.5"/>
        <rFont val="Arial MT"/>
        <family val="2"/>
      </rPr>
      <t>Campinas</t>
    </r>
  </si>
  <si>
    <r>
      <rPr>
        <sz val="9.5"/>
        <rFont val="Arial MT"/>
        <family val="2"/>
      </rPr>
      <t>Rodovia Rio/São Paulo, km 77</t>
    </r>
  </si>
  <si>
    <r>
      <rPr>
        <sz val="9.5"/>
        <rFont val="Arial MT"/>
        <family val="2"/>
      </rPr>
      <t>Praia Grande</t>
    </r>
  </si>
  <si>
    <r>
      <rPr>
        <sz val="9.5"/>
        <rFont val="Arial MT"/>
        <family val="2"/>
      </rPr>
      <t>Ubatuba</t>
    </r>
  </si>
  <si>
    <r>
      <rPr>
        <sz val="9.5"/>
        <rFont val="Arial MT"/>
        <family val="2"/>
      </rPr>
      <t>R. Júlio Mesquita, 66</t>
    </r>
  </si>
  <si>
    <r>
      <rPr>
        <sz val="9.5"/>
        <rFont val="Arial MT"/>
        <family val="2"/>
      </rPr>
      <t>Recife</t>
    </r>
  </si>
  <si>
    <r>
      <rPr>
        <sz val="9.5"/>
        <rFont val="Arial MT"/>
        <family val="2"/>
      </rPr>
      <t>PE</t>
    </r>
  </si>
  <si>
    <r>
      <rPr>
        <sz val="9.5"/>
        <rFont val="Arial MT"/>
        <family val="2"/>
      </rPr>
      <t>Katiane</t>
    </r>
  </si>
  <si>
    <r>
      <rPr>
        <sz val="9.5"/>
        <rFont val="Arial MT"/>
        <family val="2"/>
      </rPr>
      <t>R. 5, 78</t>
    </r>
  </si>
  <si>
    <r>
      <rPr>
        <sz val="9.5"/>
        <rFont val="Arial MT"/>
        <family val="2"/>
      </rPr>
      <t>Jd. Europa</t>
    </r>
  </si>
  <si>
    <r>
      <rPr>
        <sz val="9.5"/>
        <rFont val="Arial MT"/>
        <family val="2"/>
      </rPr>
      <t>Rio Claro</t>
    </r>
  </si>
  <si>
    <r>
      <rPr>
        <sz val="9.5"/>
        <rFont val="Arial MT"/>
        <family val="2"/>
      </rPr>
      <t>Lilian</t>
    </r>
  </si>
  <si>
    <r>
      <rPr>
        <sz val="9.5"/>
        <rFont val="Arial MT"/>
        <family val="2"/>
      </rPr>
      <t>R. Lambarildo Peixe, 812</t>
    </r>
  </si>
  <si>
    <r>
      <rPr>
        <sz val="9.5"/>
        <rFont val="Arial MT"/>
        <family val="2"/>
      </rPr>
      <t>Vila Tubarão</t>
    </r>
  </si>
  <si>
    <r>
      <rPr>
        <sz val="9.5"/>
        <rFont val="Arial MT"/>
        <family val="2"/>
      </rPr>
      <t>Ribeirão Preto</t>
    </r>
  </si>
  <si>
    <r>
      <rPr>
        <sz val="9.5"/>
        <rFont val="Arial MT"/>
        <family val="2"/>
      </rPr>
      <t>Lucimara</t>
    </r>
  </si>
  <si>
    <r>
      <rPr>
        <sz val="9.5"/>
        <rFont val="Arial MT"/>
        <family val="2"/>
      </rPr>
      <t>Av. dos Jequitibas, 11</t>
    </r>
  </si>
  <si>
    <r>
      <rPr>
        <sz val="9.5"/>
        <rFont val="Arial MT"/>
        <family val="2"/>
      </rPr>
      <t>Jd. Paulista</t>
    </r>
  </si>
  <si>
    <r>
      <rPr>
        <sz val="9.5"/>
        <rFont val="Arial MT"/>
        <family val="2"/>
      </rPr>
      <t>Florianópolis</t>
    </r>
  </si>
  <si>
    <r>
      <rPr>
        <sz val="9.5"/>
        <rFont val="Arial MT"/>
        <family val="2"/>
      </rPr>
      <t>SC</t>
    </r>
  </si>
  <si>
    <r>
      <rPr>
        <sz val="9.5"/>
        <rFont val="Arial MT"/>
        <family val="2"/>
      </rPr>
      <t>Av. Ipiranga, 568</t>
    </r>
  </si>
  <si>
    <r>
      <rPr>
        <sz val="9.5"/>
        <rFont val="Arial MT"/>
        <family val="2"/>
      </rPr>
      <t>Ibirapuera</t>
    </r>
  </si>
  <si>
    <r>
      <rPr>
        <sz val="9.5"/>
        <rFont val="Arial MT"/>
        <family val="2"/>
      </rPr>
      <t>Manaus</t>
    </r>
  </si>
  <si>
    <r>
      <rPr>
        <sz val="9.5"/>
        <rFont val="Arial MT"/>
        <family val="2"/>
      </rPr>
      <t>AM</t>
    </r>
  </si>
  <si>
    <r>
      <rPr>
        <sz val="9.5"/>
        <rFont val="Arial MT"/>
        <family val="2"/>
      </rPr>
      <t>Rubens</t>
    </r>
  </si>
  <si>
    <r>
      <rPr>
        <sz val="9.5"/>
        <rFont val="Arial MT"/>
        <family val="2"/>
      </rPr>
      <t>Al. dos Laranjais, 99</t>
    </r>
  </si>
  <si>
    <r>
      <rPr>
        <sz val="9.5"/>
        <rFont val="Arial MT"/>
        <family val="2"/>
      </rPr>
      <t>Rio de Janeiro</t>
    </r>
  </si>
  <si>
    <r>
      <rPr>
        <sz val="9.5"/>
        <rFont val="Arial MT"/>
        <family val="2"/>
      </rPr>
      <t>RJ</t>
    </r>
  </si>
  <si>
    <r>
      <rPr>
        <sz val="9.5"/>
        <rFont val="Arial MT"/>
        <family val="2"/>
      </rPr>
      <t>Sônia</t>
    </r>
  </si>
  <si>
    <r>
      <rPr>
        <sz val="9.5"/>
        <rFont val="Arial MT"/>
        <family val="2"/>
      </rPr>
      <t>R. das Quaresmeiras, 810</t>
    </r>
  </si>
  <si>
    <r>
      <rPr>
        <sz val="9.5"/>
        <rFont val="Arial MT"/>
        <family val="2"/>
      </rPr>
      <t>Vila Cláudia</t>
    </r>
  </si>
  <si>
    <r>
      <rPr>
        <sz val="9.5"/>
        <rFont val="Arial MT"/>
        <family val="2"/>
      </rPr>
      <t>Porto Alegre</t>
    </r>
  </si>
  <si>
    <r>
      <rPr>
        <sz val="9.5"/>
        <rFont val="Arial MT"/>
        <family val="2"/>
      </rPr>
      <t>RS</t>
    </r>
  </si>
  <si>
    <r>
      <rPr>
        <sz val="9.5"/>
        <rFont val="Arial MT"/>
        <family val="2"/>
      </rPr>
      <t>Tatiane</t>
    </r>
  </si>
  <si>
    <r>
      <rPr>
        <sz val="9.5"/>
        <rFont val="Arial MT"/>
        <family val="2"/>
      </rPr>
      <t>R. Minas Gerais, 67</t>
    </r>
  </si>
  <si>
    <r>
      <rPr>
        <sz val="9.5"/>
        <rFont val="Arial MT"/>
        <family val="2"/>
      </rPr>
      <t>Parque Industrial</t>
    </r>
  </si>
  <si>
    <r>
      <rPr>
        <sz val="9.5"/>
        <rFont val="Arial MT"/>
        <family val="2"/>
      </rPr>
      <t>Poços de Caldas</t>
    </r>
  </si>
  <si>
    <r>
      <rPr>
        <sz val="9.5"/>
        <rFont val="Arial MT"/>
        <family val="2"/>
      </rPr>
      <t>MG</t>
    </r>
  </si>
  <si>
    <r>
      <rPr>
        <sz val="9.5"/>
        <rFont val="Arial MT"/>
        <family val="2"/>
      </rPr>
      <t xml:space="preserve">Rubens                        </t>
    </r>
    <r>
      <rPr>
        <b/>
        <sz val="9.5"/>
        <rFont val="Arial"/>
        <family val="2"/>
      </rPr>
      <t>A</t>
    </r>
  </si>
  <si>
    <r>
      <rPr>
        <sz val="9.5"/>
        <rFont val="Arial MT"/>
        <family val="2"/>
      </rPr>
      <t>Endereço</t>
    </r>
  </si>
  <si>
    <r>
      <rPr>
        <b/>
        <sz val="9.5"/>
        <rFont val="Arial"/>
        <family val="2"/>
      </rPr>
      <t>B</t>
    </r>
  </si>
  <si>
    <r>
      <rPr>
        <sz val="9.5"/>
        <rFont val="Arial MT"/>
        <family val="2"/>
      </rPr>
      <t>Bairro</t>
    </r>
  </si>
  <si>
    <r>
      <rPr>
        <b/>
        <sz val="9.5"/>
        <rFont val="Arial"/>
        <family val="2"/>
      </rPr>
      <t>C</t>
    </r>
  </si>
  <si>
    <r>
      <rPr>
        <sz val="9.5"/>
        <rFont val="Arial MT"/>
        <family val="2"/>
      </rPr>
      <t>Cidade</t>
    </r>
  </si>
  <si>
    <r>
      <rPr>
        <b/>
        <sz val="9.5"/>
        <rFont val="Arial"/>
        <family val="2"/>
      </rPr>
      <t>D</t>
    </r>
  </si>
  <si>
    <r>
      <rPr>
        <sz val="9.5"/>
        <rFont val="Arial MT"/>
        <family val="2"/>
      </rPr>
      <t>Estado</t>
    </r>
  </si>
  <si>
    <r>
      <rPr>
        <b/>
        <sz val="9.5"/>
        <rFont val="Arial"/>
        <family val="2"/>
      </rPr>
      <t>E</t>
    </r>
  </si>
  <si>
    <r>
      <rPr>
        <b/>
        <sz val="10.5"/>
        <rFont val="Times New Roman"/>
        <family val="1"/>
      </rPr>
      <t>A</t>
    </r>
  </si>
  <si>
    <r>
      <rPr>
        <b/>
        <sz val="10.5"/>
        <rFont val="Times New Roman"/>
        <family val="1"/>
      </rPr>
      <t>B</t>
    </r>
  </si>
  <si>
    <r>
      <rPr>
        <b/>
        <sz val="10.5"/>
        <rFont val="Times New Roman"/>
        <family val="1"/>
      </rPr>
      <t>C</t>
    </r>
  </si>
  <si>
    <r>
      <rPr>
        <b/>
        <sz val="10.5"/>
        <rFont val="Times New Roman"/>
        <family val="1"/>
      </rPr>
      <t>D</t>
    </r>
  </si>
  <si>
    <r>
      <rPr>
        <b/>
        <sz val="10.5"/>
        <rFont val="Times New Roman"/>
        <family val="1"/>
      </rPr>
      <t>E</t>
    </r>
  </si>
  <si>
    <r>
      <rPr>
        <b/>
        <sz val="10.5"/>
        <rFont val="Times New Roman"/>
        <family val="1"/>
      </rPr>
      <t>Bolsa de Valores</t>
    </r>
  </si>
  <si>
    <r>
      <rPr>
        <b/>
        <sz val="10.5"/>
        <rFont val="Times New Roman"/>
        <family val="1"/>
      </rPr>
      <t>Relação de Movimentação Financeira da Semana</t>
    </r>
  </si>
  <si>
    <r>
      <rPr>
        <sz val="10.5"/>
        <rFont val="Times New Roman"/>
        <family val="1"/>
      </rPr>
      <t>Dias da Semana</t>
    </r>
  </si>
  <si>
    <r>
      <rPr>
        <sz val="10.5"/>
        <rFont val="Times New Roman"/>
        <family val="1"/>
      </rPr>
      <t>Valor Máximo     Valor Mínimo        Fechamento        Abertura do Pregão</t>
    </r>
  </si>
  <si>
    <r>
      <rPr>
        <sz val="11.5"/>
        <rFont val="Times New Roman"/>
        <family val="1"/>
      </rPr>
      <t xml:space="preserve">9)   Elaborar a planilha abaixo, e depois, elaborar um gráfico de colunas, como mostrado abaixo:
</t>
    </r>
    <r>
      <rPr>
        <b/>
        <sz val="9.5"/>
        <rFont val="Times New Roman"/>
        <family val="1"/>
      </rPr>
      <t xml:space="preserve">Tabela de Preços                                                                       Empresa Papelaria Livro Caro
</t>
    </r>
    <r>
      <rPr>
        <b/>
        <sz val="9.5"/>
        <rFont val="Times New Roman"/>
        <family val="1"/>
      </rPr>
      <t>R. Tiradentes, 1234</t>
    </r>
  </si>
  <si>
    <r>
      <rPr>
        <b/>
        <sz val="9.5"/>
        <rFont val="Times New Roman"/>
        <family val="1"/>
      </rPr>
      <t>Porc. De Lucro</t>
    </r>
  </si>
  <si>
    <r>
      <rPr>
        <b/>
        <sz val="9.5"/>
        <rFont val="Times New Roman"/>
        <family val="1"/>
      </rPr>
      <t>Araras/SP</t>
    </r>
  </si>
  <si>
    <r>
      <rPr>
        <b/>
        <sz val="9.5"/>
        <rFont val="Times New Roman"/>
        <family val="1"/>
      </rPr>
      <t>Valor do Dólar:</t>
    </r>
  </si>
  <si>
    <r>
      <rPr>
        <sz val="9.5"/>
        <rFont val="Times New Roman"/>
        <family val="1"/>
      </rPr>
      <t>Reais</t>
    </r>
  </si>
  <si>
    <r>
      <rPr>
        <sz val="9.5"/>
        <rFont val="Times New Roman"/>
        <family val="1"/>
      </rPr>
      <t>Dólar</t>
    </r>
  </si>
  <si>
    <r>
      <rPr>
        <sz val="9.5"/>
        <rFont val="Times New Roman"/>
        <family val="1"/>
      </rPr>
      <t>Produto</t>
    </r>
  </si>
  <si>
    <r>
      <rPr>
        <sz val="9.5"/>
        <rFont val="Times New Roman"/>
        <family val="1"/>
      </rPr>
      <t>Estoque</t>
    </r>
  </si>
  <si>
    <r>
      <rPr>
        <sz val="9.5"/>
        <rFont val="Times New Roman"/>
        <family val="1"/>
      </rPr>
      <t>Custo</t>
    </r>
  </si>
  <si>
    <r>
      <rPr>
        <sz val="9.5"/>
        <rFont val="Times New Roman"/>
        <family val="1"/>
      </rPr>
      <t>Venda</t>
    </r>
  </si>
  <si>
    <r>
      <rPr>
        <sz val="9.5"/>
        <rFont val="Times New Roman"/>
        <family val="1"/>
      </rPr>
      <t>Total</t>
    </r>
  </si>
  <si>
    <r>
      <rPr>
        <sz val="9.5"/>
        <rFont val="Times New Roman"/>
        <family val="1"/>
      </rPr>
      <t>Borracha</t>
    </r>
  </si>
  <si>
    <r>
      <rPr>
        <sz val="9.5"/>
        <rFont val="Times New Roman"/>
        <family val="1"/>
      </rPr>
      <t>Caderno 100 fls</t>
    </r>
  </si>
  <si>
    <r>
      <rPr>
        <sz val="9.5"/>
        <rFont val="Times New Roman"/>
        <family val="1"/>
      </rPr>
      <t>Caderno 200 fls</t>
    </r>
  </si>
  <si>
    <r>
      <rPr>
        <sz val="9.5"/>
        <rFont val="Times New Roman"/>
        <family val="1"/>
      </rPr>
      <t>Caneta Azul</t>
    </r>
  </si>
  <si>
    <r>
      <rPr>
        <sz val="9.5"/>
        <rFont val="Times New Roman"/>
        <family val="1"/>
      </rPr>
      <t>Caneta Vermelha</t>
    </r>
  </si>
  <si>
    <r>
      <rPr>
        <sz val="9.5"/>
        <rFont val="Times New Roman"/>
        <family val="1"/>
      </rPr>
      <t>Lapiseira</t>
    </r>
  </si>
  <si>
    <r>
      <rPr>
        <sz val="9.5"/>
        <rFont val="Times New Roman"/>
        <family val="1"/>
      </rPr>
      <t>Régua 15 cm</t>
    </r>
  </si>
  <si>
    <r>
      <rPr>
        <sz val="9.5"/>
        <rFont val="Times New Roman"/>
        <family val="1"/>
      </rPr>
      <t>Régua 30 cm</t>
    </r>
  </si>
  <si>
    <r>
      <rPr>
        <sz val="9.5"/>
        <rFont val="Times New Roman"/>
        <family val="1"/>
      </rPr>
      <t>Giz de Cera</t>
    </r>
  </si>
  <si>
    <r>
      <rPr>
        <sz val="9.5"/>
        <rFont val="Times New Roman"/>
        <family val="1"/>
      </rPr>
      <t>Cola</t>
    </r>
  </si>
  <si>
    <r>
      <rPr>
        <sz val="9.5"/>
        <rFont val="Times New Roman"/>
        <family val="1"/>
      </rPr>
      <t>Compasso</t>
    </r>
  </si>
  <si>
    <r>
      <rPr>
        <sz val="9.5"/>
        <rFont val="Times New Roman"/>
        <family val="1"/>
      </rPr>
      <t>Totais</t>
    </r>
  </si>
  <si>
    <r>
      <rPr>
        <sz val="1"/>
        <rFont val="Times New Roman"/>
        <family val="1"/>
      </rPr>
      <t xml:space="preserve">-                                                       </t>
    </r>
    <r>
      <rPr>
        <sz val="11.5"/>
        <rFont val="Times New Roman"/>
        <family val="1"/>
      </rPr>
      <t xml:space="preserve">Aumentar a largura das colunas a seu critério, quando necessário;
</t>
    </r>
    <r>
      <rPr>
        <sz val="1"/>
        <rFont val="Times New Roman"/>
        <family val="1"/>
      </rPr>
      <t xml:space="preserve">-                                                       </t>
    </r>
    <r>
      <rPr>
        <sz val="11.5"/>
        <rFont val="Times New Roman"/>
        <family val="1"/>
      </rPr>
      <t xml:space="preserve">Formatar os números com o símbolo monetário (R$), quando necessário;
</t>
    </r>
    <r>
      <rPr>
        <sz val="1"/>
        <rFont val="Times New Roman"/>
        <family val="1"/>
      </rPr>
      <t xml:space="preserve">-
</t>
    </r>
    <r>
      <rPr>
        <sz val="1"/>
        <rFont val="Times New Roman"/>
        <family val="1"/>
      </rPr>
      <t xml:space="preserve">-                                                       </t>
    </r>
    <r>
      <rPr>
        <b/>
        <sz val="11.5"/>
        <rFont val="Times New Roman"/>
        <family val="1"/>
      </rPr>
      <t xml:space="preserve">FÓRMULAS:
</t>
    </r>
    <r>
      <rPr>
        <sz val="1"/>
        <rFont val="Times New Roman"/>
        <family val="1"/>
      </rPr>
      <t xml:space="preserve">-                                                       </t>
    </r>
    <r>
      <rPr>
        <b/>
        <sz val="11.5"/>
        <rFont val="Times New Roman"/>
        <family val="1"/>
      </rPr>
      <t xml:space="preserve">Total (R$): </t>
    </r>
    <r>
      <rPr>
        <sz val="11.5"/>
        <rFont val="Times New Roman"/>
        <family val="1"/>
      </rPr>
      <t xml:space="preserve">Venda (R$) * Quantidade em Estoque  .
</t>
    </r>
    <r>
      <rPr>
        <sz val="1"/>
        <rFont val="Times New Roman"/>
        <family val="1"/>
      </rPr>
      <t xml:space="preserve">-                                                       </t>
    </r>
    <r>
      <rPr>
        <b/>
        <sz val="11.5"/>
        <rFont val="Times New Roman"/>
        <family val="1"/>
      </rPr>
      <t xml:space="preserve">Custo (Dólar): </t>
    </r>
    <r>
      <rPr>
        <sz val="11.5"/>
        <rFont val="Times New Roman"/>
        <family val="1"/>
      </rPr>
      <t xml:space="preserve">Custo (R$) / Valor do Dólar do Dia.
</t>
    </r>
    <r>
      <rPr>
        <sz val="1"/>
        <rFont val="Times New Roman"/>
        <family val="1"/>
      </rPr>
      <t xml:space="preserve">-                                                       </t>
    </r>
    <r>
      <rPr>
        <b/>
        <sz val="11.5"/>
        <rFont val="Times New Roman"/>
        <family val="1"/>
      </rPr>
      <t xml:space="preserve">Venda (Dólar): </t>
    </r>
    <r>
      <rPr>
        <sz val="11.5"/>
        <rFont val="Times New Roman"/>
        <family val="1"/>
      </rPr>
      <t xml:space="preserve">Custo (Dólar) * (1 + Porcentagem de Lucro).
</t>
    </r>
    <r>
      <rPr>
        <sz val="1"/>
        <rFont val="Times New Roman"/>
        <family val="1"/>
      </rPr>
      <t xml:space="preserve">-                                                       </t>
    </r>
    <r>
      <rPr>
        <b/>
        <sz val="11.5"/>
        <rFont val="Times New Roman"/>
        <family val="1"/>
      </rPr>
      <t xml:space="preserve">Total (Dólar): </t>
    </r>
    <r>
      <rPr>
        <sz val="11.5"/>
        <rFont val="Times New Roman"/>
        <family val="1"/>
      </rPr>
      <t xml:space="preserve">Venda (Dólar) * Quantidade em Estoque.
</t>
    </r>
    <r>
      <rPr>
        <sz val="1"/>
        <rFont val="Times New Roman"/>
        <family val="1"/>
      </rPr>
      <t xml:space="preserve">-                                                       </t>
    </r>
    <r>
      <rPr>
        <b/>
        <sz val="11.5"/>
        <rFont val="Times New Roman"/>
        <family val="1"/>
      </rPr>
      <t xml:space="preserve">Totais: </t>
    </r>
    <r>
      <rPr>
        <sz val="11.5"/>
        <rFont val="Times New Roman"/>
        <family val="1"/>
      </rPr>
      <t xml:space="preserve">somar os totais de todas as colunas.
</t>
    </r>
    <r>
      <rPr>
        <b/>
        <sz val="11.5"/>
        <rFont val="Times New Roman"/>
        <family val="1"/>
      </rPr>
      <t xml:space="preserve">GRÁFICO
</t>
    </r>
    <r>
      <rPr>
        <sz val="1"/>
        <rFont val="Times New Roman"/>
        <family val="1"/>
      </rPr>
      <t xml:space="preserve">-                                                       </t>
    </r>
    <r>
      <rPr>
        <sz val="11.5"/>
        <rFont val="Times New Roman"/>
        <family val="1"/>
      </rPr>
      <t xml:space="preserve">Fazer o gráfico utilizando-se apenas das colunas seguintes colunas:
</t>
    </r>
    <r>
      <rPr>
        <b/>
        <sz val="11.5"/>
        <rFont val="Times New Roman"/>
        <family val="1"/>
      </rPr>
      <t>Produto</t>
    </r>
    <r>
      <rPr>
        <sz val="11.5"/>
        <rFont val="Times New Roman"/>
        <family val="1"/>
      </rPr>
      <t xml:space="preserve">, </t>
    </r>
    <r>
      <rPr>
        <b/>
        <sz val="11.5"/>
        <rFont val="Times New Roman"/>
        <family val="1"/>
      </rPr>
      <t>Custo (Reais)</t>
    </r>
    <r>
      <rPr>
        <sz val="11.5"/>
        <rFont val="Times New Roman"/>
        <family val="1"/>
      </rPr>
      <t xml:space="preserve">, </t>
    </r>
    <r>
      <rPr>
        <b/>
        <sz val="11.5"/>
        <rFont val="Times New Roman"/>
        <family val="1"/>
      </rPr>
      <t>Venda (Reais)</t>
    </r>
    <r>
      <rPr>
        <sz val="11.5"/>
        <rFont val="Times New Roman"/>
        <family val="1"/>
      </rPr>
      <t xml:space="preserve">, </t>
    </r>
    <r>
      <rPr>
        <b/>
        <sz val="11.5"/>
        <rFont val="Times New Roman"/>
        <family val="1"/>
      </rPr>
      <t xml:space="preserve">Custo (Dólar) </t>
    </r>
    <r>
      <rPr>
        <sz val="11.5"/>
        <rFont val="Times New Roman"/>
        <family val="1"/>
      </rPr>
      <t xml:space="preserve">e </t>
    </r>
    <r>
      <rPr>
        <b/>
        <sz val="11.5"/>
        <rFont val="Times New Roman"/>
        <family val="1"/>
      </rPr>
      <t>Venda (Dólar)</t>
    </r>
    <r>
      <rPr>
        <sz val="11.5"/>
        <rFont val="Times New Roman"/>
        <family val="1"/>
      </rPr>
      <t xml:space="preserve">;
</t>
    </r>
    <r>
      <rPr>
        <sz val="1"/>
        <rFont val="Times New Roman"/>
        <family val="1"/>
      </rPr>
      <t xml:space="preserve">-                                                       </t>
    </r>
    <r>
      <rPr>
        <sz val="11.5"/>
        <rFont val="Times New Roman"/>
        <family val="1"/>
      </rPr>
      <t xml:space="preserve">Selecionar o gráfico de </t>
    </r>
    <r>
      <rPr>
        <b/>
        <sz val="11.5"/>
        <rFont val="Times New Roman"/>
        <family val="1"/>
      </rPr>
      <t>Linhas – Linhas 3D</t>
    </r>
    <r>
      <rPr>
        <sz val="11.5"/>
        <rFont val="Times New Roman"/>
        <family val="1"/>
      </rPr>
      <t xml:space="preserve">;
</t>
    </r>
    <r>
      <rPr>
        <sz val="1"/>
        <rFont val="Times New Roman"/>
        <family val="1"/>
      </rPr>
      <t xml:space="preserve">-                                                       </t>
    </r>
    <r>
      <rPr>
        <sz val="11.5"/>
        <rFont val="Times New Roman"/>
        <family val="1"/>
      </rPr>
      <t xml:space="preserve">Seqüências em </t>
    </r>
    <r>
      <rPr>
        <b/>
        <sz val="11.5"/>
        <rFont val="Times New Roman"/>
        <family val="1"/>
      </rPr>
      <t>Colunas</t>
    </r>
    <r>
      <rPr>
        <sz val="11.5"/>
        <rFont val="Times New Roman"/>
        <family val="1"/>
      </rPr>
      <t xml:space="preserve">;
</t>
    </r>
    <r>
      <rPr>
        <sz val="1"/>
        <rFont val="Times New Roman"/>
        <family val="1"/>
      </rPr>
      <t xml:space="preserve">-                                                       </t>
    </r>
    <r>
      <rPr>
        <sz val="11.5"/>
        <rFont val="Times New Roman"/>
        <family val="1"/>
      </rPr>
      <t xml:space="preserve">Preencher os títulos do gráfico como quiser;
</t>
    </r>
    <r>
      <rPr>
        <sz val="1"/>
        <rFont val="Times New Roman"/>
        <family val="1"/>
      </rPr>
      <t xml:space="preserve">-                                                       </t>
    </r>
    <r>
      <rPr>
        <sz val="11.5"/>
        <rFont val="Times New Roman"/>
        <family val="1"/>
      </rPr>
      <t xml:space="preserve">Legenda à </t>
    </r>
    <r>
      <rPr>
        <b/>
        <sz val="11.5"/>
        <rFont val="Times New Roman"/>
        <family val="1"/>
      </rPr>
      <t>Direita</t>
    </r>
    <r>
      <rPr>
        <sz val="11.5"/>
        <rFont val="Times New Roman"/>
        <family val="1"/>
      </rPr>
      <t xml:space="preserve">;
</t>
    </r>
    <r>
      <rPr>
        <sz val="1"/>
        <rFont val="Times New Roman"/>
        <family val="1"/>
      </rPr>
      <t xml:space="preserve">-                                                       </t>
    </r>
    <r>
      <rPr>
        <sz val="11.5"/>
        <rFont val="Times New Roman"/>
        <family val="1"/>
      </rPr>
      <t xml:space="preserve">Criar o gráfico como nova planilha.
</t>
    </r>
    <r>
      <rPr>
        <sz val="11.5"/>
        <rFont val="Times New Roman"/>
        <family val="1"/>
      </rPr>
      <t xml:space="preserve">Salvar no Computador com o nome de </t>
    </r>
    <r>
      <rPr>
        <b/>
        <sz val="11.5"/>
        <rFont val="Times New Roman"/>
        <family val="1"/>
      </rPr>
      <t xml:space="preserve">Revisao 9
</t>
    </r>
    <r>
      <rPr>
        <i/>
        <sz val="11.5"/>
        <rFont val="Calibri"/>
        <family val="1"/>
      </rPr>
      <t xml:space="preserve">Blog  do Professor&gt;      </t>
    </r>
    <r>
      <rPr>
        <sz val="13.5"/>
        <rFont val="Microsoft Sans Serif"/>
        <family val="2"/>
      </rPr>
      <t xml:space="preserve">http://lorlando.blogspot.com/          </t>
    </r>
    <r>
      <rPr>
        <i/>
        <sz val="11.5"/>
        <rFont val="Calibri"/>
        <family val="1"/>
      </rPr>
      <t xml:space="preserve">facebook /  Orkut  &gt;   </t>
    </r>
    <r>
      <rPr>
        <sz val="13.5"/>
        <rFont val="Microsoft Sans Serif"/>
        <family val="2"/>
      </rPr>
      <t>Luis.teclinux@gmail.com</t>
    </r>
  </si>
  <si>
    <r>
      <rPr>
        <b/>
        <sz val="11.5"/>
        <rFont val="Times New Roman"/>
        <family val="1"/>
      </rPr>
      <t xml:space="preserve">
</t>
    </r>
    <r>
      <rPr>
        <b/>
        <sz val="9.5"/>
        <rFont val="Arial MT"/>
        <family val="2"/>
      </rPr>
      <t>CONTAS A PAGAR</t>
    </r>
  </si>
  <si>
    <t>Nome</t>
  </si>
  <si>
    <t>Salário</t>
  </si>
  <si>
    <t>Aumento</t>
  </si>
  <si>
    <t>Novo Salário</t>
  </si>
  <si>
    <t>Segunda-Feira                     24.000,00            22.980,00            23.900,80                        23.000,00
Terça-Feira                         24.120,00            23.014,00            24.019,00                        23.115,00
Quarta-Feira                        24.240,00            23.129,57            24.139,60                        23.230,58
Quinta-Feira                        24.361,00            23.254,00            24.260,00                        23.346,73
Sexta-Feira                          24.483,61            23.361,45            24.381,60                        23.463,46</t>
  </si>
  <si>
    <t>gabriel</t>
  </si>
  <si>
    <t>Edson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</si>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</sst>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[$R$-416]\ #,##0.00"/>
    <numFmt numFmtId="166" formatCode="&quot;R$&quot;\ #,##0.00"/>
  </numFmts>
  <fonts count="21">
    <font>
      <sz val="10"/>
      <color rgb="FF000000"/>
      <name val="Times New Roman"/>
      <charset val="204"/>
    </font>
    <font>
      <b/>
      <sz val="9.5"/>
      <name val="Arial"/>
      <family val="2"/>
    </font>
    <font>
      <b/>
      <sz val="9.5"/>
      <color rgb="FF000000"/>
      <name val="Arial"/>
      <family val="2"/>
    </font>
    <font>
      <sz val="9.5"/>
      <name val="Arial MT"/>
    </font>
    <font>
      <sz val="9.5"/>
      <color rgb="FF000000"/>
      <name val="Arial MT"/>
      <family val="2"/>
    </font>
    <font>
      <sz val="11.5"/>
      <name val="Times New Roman"/>
      <family val="1"/>
    </font>
    <font>
      <b/>
      <sz val="10.5"/>
      <name val="Times New Roman"/>
      <family val="1"/>
    </font>
    <font>
      <b/>
      <sz val="10.5"/>
      <color rgb="FF000000"/>
      <name val="Times New Roman"/>
      <family val="2"/>
    </font>
    <font>
      <sz val="10.5"/>
      <name val="Times New Roman"/>
      <family val="1"/>
    </font>
    <font>
      <b/>
      <sz val="9.5"/>
      <name val="Times New Roman"/>
      <family val="1"/>
    </font>
    <font>
      <sz val="9.5"/>
      <color rgb="FF000000"/>
      <name val="Times New Roman"/>
      <family val="2"/>
    </font>
    <font>
      <sz val="9.5"/>
      <name val="Times New Roman"/>
      <family val="1"/>
    </font>
    <font>
      <i/>
      <sz val="11.5"/>
      <name val="Calibri"/>
      <family val="1"/>
    </font>
    <font>
      <sz val="9.5"/>
      <name val="Arial MT"/>
      <family val="2"/>
    </font>
    <font>
      <b/>
      <sz val="11.5"/>
      <name val="Times New Roman"/>
      <family val="1"/>
    </font>
    <font>
      <sz val="13.5"/>
      <name val="Microsoft Sans Serif"/>
      <family val="2"/>
    </font>
    <font>
      <sz val="1"/>
      <name val="Times New Roman"/>
      <family val="1"/>
    </font>
    <font>
      <sz val="10"/>
      <color rgb="FF000000"/>
      <name val="Times New Roman"/>
      <family val="1"/>
    </font>
    <font>
      <b/>
      <sz val="9.5"/>
      <name val="Arial MT"/>
      <family val="2"/>
    </font>
    <font>
      <b/>
      <sz val="10"/>
      <name val="Times New Roman"/>
      <family val="1"/>
      <charset val="204"/>
    </font>
    <font>
      <b/>
      <sz val="9.5"/>
      <name val="Arial MT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612322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right" vertical="top" wrapText="1"/>
    </xf>
    <xf numFmtId="0" fontId="1" fillId="0" borderId="5" xfId="0" applyFont="1" applyFill="1" applyBorder="1" applyAlignment="1">
      <alignment horizontal="center" vertical="top" wrapText="1"/>
    </xf>
    <xf numFmtId="1" fontId="2" fillId="0" borderId="5" xfId="0" applyNumberFormat="1" applyFont="1" applyFill="1" applyBorder="1" applyAlignment="1">
      <alignment horizontal="center" vertical="top" shrinkToFit="1"/>
    </xf>
    <xf numFmtId="0" fontId="3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top" wrapText="1" indent="1"/>
    </xf>
    <xf numFmtId="0" fontId="3" fillId="0" borderId="5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left" vertical="top" wrapText="1" indent="2"/>
    </xf>
    <xf numFmtId="1" fontId="4" fillId="0" borderId="5" xfId="0" applyNumberFormat="1" applyFont="1" applyFill="1" applyBorder="1" applyAlignment="1">
      <alignment horizontal="center" vertical="top" shrinkToFit="1"/>
    </xf>
    <xf numFmtId="10" fontId="4" fillId="0" borderId="5" xfId="0" applyNumberFormat="1" applyFont="1" applyFill="1" applyBorder="1" applyAlignment="1">
      <alignment horizontal="right" vertical="top" shrinkToFit="1"/>
    </xf>
    <xf numFmtId="10" fontId="4" fillId="0" borderId="8" xfId="0" applyNumberFormat="1" applyFont="1" applyFill="1" applyBorder="1" applyAlignment="1">
      <alignment horizontal="left" vertical="top" indent="3" shrinkToFit="1"/>
    </xf>
    <xf numFmtId="10" fontId="4" fillId="0" borderId="9" xfId="0" applyNumberFormat="1" applyFont="1" applyFill="1" applyBorder="1" applyAlignment="1">
      <alignment horizontal="left" vertical="top" indent="3" shrinkToFit="1"/>
    </xf>
    <xf numFmtId="0" fontId="0" fillId="0" borderId="1" xfId="0" applyFill="1" applyBorder="1" applyAlignment="1">
      <alignment horizontal="left" vertical="center" wrapText="1"/>
    </xf>
    <xf numFmtId="4" fontId="4" fillId="0" borderId="8" xfId="0" applyNumberFormat="1" applyFont="1" applyFill="1" applyBorder="1" applyAlignment="1">
      <alignment horizontal="left" vertical="top" indent="3" shrinkToFit="1"/>
    </xf>
    <xf numFmtId="4" fontId="4" fillId="0" borderId="9" xfId="0" applyNumberFormat="1" applyFont="1" applyFill="1" applyBorder="1" applyAlignment="1">
      <alignment horizontal="left" vertical="top" indent="3" shrinkToFit="1"/>
    </xf>
    <xf numFmtId="4" fontId="4" fillId="0" borderId="7" xfId="0" applyNumberFormat="1" applyFont="1" applyFill="1" applyBorder="1" applyAlignment="1">
      <alignment horizontal="left" vertical="top" indent="3" shrinkToFit="1"/>
    </xf>
    <xf numFmtId="0" fontId="3" fillId="0" borderId="7" xfId="0" applyFont="1" applyFill="1" applyBorder="1" applyAlignment="1">
      <alignment horizontal="left" vertical="top" wrapText="1"/>
    </xf>
    <xf numFmtId="1" fontId="7" fillId="0" borderId="5" xfId="0" applyNumberFormat="1" applyFont="1" applyFill="1" applyBorder="1" applyAlignment="1">
      <alignment horizontal="center" vertical="top" shrinkToFit="1"/>
    </xf>
    <xf numFmtId="0" fontId="9" fillId="0" borderId="5" xfId="0" applyFont="1" applyFill="1" applyBorder="1" applyAlignment="1">
      <alignment horizontal="left" vertical="top" wrapText="1"/>
    </xf>
    <xf numFmtId="10" fontId="10" fillId="0" borderId="5" xfId="0" applyNumberFormat="1" applyFont="1" applyFill="1" applyBorder="1" applyAlignment="1">
      <alignment horizontal="right" vertical="top" shrinkToFit="1"/>
    </xf>
    <xf numFmtId="2" fontId="10" fillId="0" borderId="5" xfId="0" applyNumberFormat="1" applyFont="1" applyFill="1" applyBorder="1" applyAlignment="1">
      <alignment horizontal="right" vertical="top" shrinkToFit="1"/>
    </xf>
    <xf numFmtId="0" fontId="11" fillId="0" borderId="5" xfId="0" applyFont="1" applyFill="1" applyBorder="1" applyAlignment="1">
      <alignment horizontal="left" vertical="top" wrapText="1"/>
    </xf>
    <xf numFmtId="0" fontId="11" fillId="0" borderId="5" xfId="0" applyFont="1" applyFill="1" applyBorder="1" applyAlignment="1">
      <alignment horizontal="left" vertical="top" wrapText="1" indent="1"/>
    </xf>
    <xf numFmtId="0" fontId="11" fillId="0" borderId="5" xfId="0" applyFont="1" applyFill="1" applyBorder="1" applyAlignment="1">
      <alignment horizontal="left" vertical="top" wrapText="1" indent="2"/>
    </xf>
    <xf numFmtId="1" fontId="10" fillId="0" borderId="5" xfId="0" applyNumberFormat="1" applyFont="1" applyFill="1" applyBorder="1" applyAlignment="1">
      <alignment horizontal="right" vertical="top" shrinkToFit="1"/>
    </xf>
    <xf numFmtId="0" fontId="0" fillId="0" borderId="4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 indent="1"/>
    </xf>
    <xf numFmtId="0" fontId="3" fillId="0" borderId="9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top" wrapText="1" indent="3"/>
    </xf>
    <xf numFmtId="0" fontId="3" fillId="0" borderId="9" xfId="0" applyFont="1" applyFill="1" applyBorder="1" applyAlignment="1">
      <alignment horizontal="left" vertical="top" wrapText="1" indent="3"/>
    </xf>
    <xf numFmtId="10" fontId="4" fillId="0" borderId="8" xfId="0" applyNumberFormat="1" applyFont="1" applyFill="1" applyBorder="1" applyAlignment="1">
      <alignment horizontal="left" vertical="top" indent="3" shrinkToFit="1"/>
    </xf>
    <xf numFmtId="10" fontId="4" fillId="0" borderId="9" xfId="0" applyNumberFormat="1" applyFont="1" applyFill="1" applyBorder="1" applyAlignment="1">
      <alignment horizontal="left" vertical="top" indent="3" shrinkToFit="1"/>
    </xf>
    <xf numFmtId="0" fontId="0" fillId="0" borderId="1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 indent="2"/>
    </xf>
    <xf numFmtId="0" fontId="3" fillId="0" borderId="7" xfId="0" applyFont="1" applyFill="1" applyBorder="1" applyAlignment="1">
      <alignment horizontal="left" vertical="top" wrapText="1" indent="2"/>
    </xf>
    <xf numFmtId="0" fontId="3" fillId="0" borderId="9" xfId="0" applyFont="1" applyFill="1" applyBorder="1" applyAlignment="1">
      <alignment horizontal="left" vertical="top" wrapText="1" indent="2"/>
    </xf>
    <xf numFmtId="1" fontId="4" fillId="0" borderId="8" xfId="0" applyNumberFormat="1" applyFont="1" applyFill="1" applyBorder="1" applyAlignment="1">
      <alignment horizontal="right" vertical="top" shrinkToFit="1"/>
    </xf>
    <xf numFmtId="1" fontId="4" fillId="0" borderId="9" xfId="0" applyNumberFormat="1" applyFont="1" applyFill="1" applyBorder="1" applyAlignment="1">
      <alignment horizontal="right" vertical="top" shrinkToFit="1"/>
    </xf>
    <xf numFmtId="1" fontId="4" fillId="0" borderId="8" xfId="0" applyNumberFormat="1" applyFont="1" applyFill="1" applyBorder="1" applyAlignment="1">
      <alignment horizontal="left" vertical="top" indent="5" shrinkToFit="1"/>
    </xf>
    <xf numFmtId="1" fontId="4" fillId="0" borderId="9" xfId="0" applyNumberFormat="1" applyFont="1" applyFill="1" applyBorder="1" applyAlignment="1">
      <alignment horizontal="left" vertical="top" indent="5" shrinkToFit="1"/>
    </xf>
    <xf numFmtId="4" fontId="4" fillId="0" borderId="8" xfId="0" applyNumberFormat="1" applyFont="1" applyFill="1" applyBorder="1" applyAlignment="1">
      <alignment horizontal="left" vertical="top" indent="3" shrinkToFit="1"/>
    </xf>
    <xf numFmtId="4" fontId="4" fillId="0" borderId="9" xfId="0" applyNumberFormat="1" applyFont="1" applyFill="1" applyBorder="1" applyAlignment="1">
      <alignment horizontal="left" vertical="top" indent="3" shrinkToFit="1"/>
    </xf>
    <xf numFmtId="4" fontId="4" fillId="0" borderId="7" xfId="0" applyNumberFormat="1" applyFont="1" applyFill="1" applyBorder="1" applyAlignment="1">
      <alignment horizontal="left" vertical="top" indent="3" shrinkToFit="1"/>
    </xf>
    <xf numFmtId="0" fontId="0" fillId="0" borderId="14" xfId="0" applyFill="1" applyBorder="1" applyAlignment="1">
      <alignment horizontal="left" wrapText="1"/>
    </xf>
    <xf numFmtId="0" fontId="0" fillId="0" borderId="17" xfId="0" applyFill="1" applyBorder="1" applyAlignment="1">
      <alignment horizontal="left" wrapText="1"/>
    </xf>
    <xf numFmtId="0" fontId="3" fillId="0" borderId="7" xfId="0" applyFont="1" applyFill="1" applyBorder="1" applyAlignment="1">
      <alignment horizontal="left" vertical="top" wrapText="1"/>
    </xf>
    <xf numFmtId="0" fontId="0" fillId="0" borderId="18" xfId="0" applyFill="1" applyBorder="1" applyAlignment="1">
      <alignment horizontal="left" wrapText="1"/>
    </xf>
    <xf numFmtId="0" fontId="0" fillId="0" borderId="2" xfId="0" applyFill="1" applyBorder="1" applyAlignment="1">
      <alignment horizontal="right" vertical="top" wrapText="1"/>
    </xf>
    <xf numFmtId="0" fontId="9" fillId="0" borderId="6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11" fillId="0" borderId="8" xfId="0" applyFont="1" applyFill="1" applyBorder="1" applyAlignment="1">
      <alignment horizontal="center" vertical="top" wrapText="1"/>
    </xf>
    <xf numFmtId="0" fontId="11" fillId="0" borderId="7" xfId="0" applyFont="1" applyFill="1" applyBorder="1" applyAlignment="1">
      <alignment horizontal="center" vertical="top" wrapText="1"/>
    </xf>
    <xf numFmtId="0" fontId="11" fillId="0" borderId="9" xfId="0" applyFont="1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19" fillId="0" borderId="2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8" fontId="3" fillId="0" borderId="8" xfId="0" applyNumberFormat="1" applyFont="1" applyFill="1" applyBorder="1" applyAlignment="1">
      <alignment horizontal="left" vertical="top" wrapText="1" indent="1"/>
    </xf>
    <xf numFmtId="8" fontId="3" fillId="0" borderId="8" xfId="0" applyNumberFormat="1" applyFont="1" applyFill="1" applyBorder="1" applyAlignment="1">
      <alignment horizontal="left" vertical="top" wrapText="1"/>
    </xf>
    <xf numFmtId="8" fontId="3" fillId="0" borderId="8" xfId="0" applyNumberFormat="1" applyFont="1" applyFill="1" applyBorder="1" applyAlignment="1">
      <alignment horizontal="left" vertical="top" wrapText="1"/>
    </xf>
    <xf numFmtId="8" fontId="3" fillId="0" borderId="5" xfId="0" applyNumberFormat="1" applyFont="1" applyFill="1" applyBorder="1" applyAlignment="1">
      <alignment horizontal="right" vertical="top" wrapText="1"/>
    </xf>
    <xf numFmtId="0" fontId="3" fillId="0" borderId="13" xfId="0" applyFont="1" applyFill="1" applyBorder="1" applyAlignment="1">
      <alignment horizontal="left" vertical="top" wrapText="1"/>
    </xf>
    <xf numFmtId="1" fontId="4" fillId="0" borderId="13" xfId="0" applyNumberFormat="1" applyFont="1" applyFill="1" applyBorder="1" applyAlignment="1">
      <alignment horizontal="right" vertical="top" shrinkToFit="1"/>
    </xf>
    <xf numFmtId="8" fontId="3" fillId="0" borderId="13" xfId="0" applyNumberFormat="1" applyFont="1" applyFill="1" applyBorder="1" applyAlignment="1">
      <alignment horizontal="right" vertical="top" wrapText="1"/>
    </xf>
    <xf numFmtId="0" fontId="0" fillId="0" borderId="13" xfId="0" applyFill="1" applyBorder="1" applyAlignment="1">
      <alignment horizontal="left" wrapText="1"/>
    </xf>
    <xf numFmtId="0" fontId="0" fillId="0" borderId="0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3" xfId="0" applyFill="1" applyBorder="1" applyAlignment="1">
      <alignment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/>
    <xf numFmtId="4" fontId="4" fillId="0" borderId="15" xfId="0" applyNumberFormat="1" applyFont="1" applyFill="1" applyBorder="1" applyAlignment="1">
      <alignment horizontal="left" vertical="top" indent="3" shrinkToFit="1"/>
    </xf>
    <xf numFmtId="4" fontId="4" fillId="0" borderId="20" xfId="0" applyNumberFormat="1" applyFont="1" applyFill="1" applyBorder="1" applyAlignment="1">
      <alignment horizontal="left" vertical="top" indent="3" shrinkToFit="1"/>
    </xf>
    <xf numFmtId="0" fontId="3" fillId="0" borderId="21" xfId="0" applyFont="1" applyFill="1" applyBorder="1" applyAlignment="1">
      <alignment horizontal="left" vertical="top" wrapText="1" indent="2"/>
    </xf>
    <xf numFmtId="4" fontId="4" fillId="0" borderId="21" xfId="0" applyNumberFormat="1" applyFont="1" applyFill="1" applyBorder="1" applyAlignment="1">
      <alignment horizontal="left" vertical="top" indent="3" shrinkToFit="1"/>
    </xf>
    <xf numFmtId="0" fontId="0" fillId="0" borderId="21" xfId="0" applyFill="1" applyBorder="1" applyAlignment="1">
      <alignment horizontal="left" wrapText="1"/>
    </xf>
    <xf numFmtId="4" fontId="4" fillId="0" borderId="18" xfId="0" applyNumberFormat="1" applyFont="1" applyFill="1" applyBorder="1" applyAlignment="1">
      <alignment horizontal="left" vertical="top" indent="3" shrinkToFit="1"/>
    </xf>
    <xf numFmtId="4" fontId="4" fillId="0" borderId="17" xfId="0" applyNumberFormat="1" applyFont="1" applyFill="1" applyBorder="1" applyAlignment="1">
      <alignment horizontal="left" vertical="top" indent="3" shrinkToFit="1"/>
    </xf>
    <xf numFmtId="4" fontId="4" fillId="0" borderId="14" xfId="0" applyNumberFormat="1" applyFont="1" applyFill="1" applyBorder="1" applyAlignment="1">
      <alignment horizontal="left" vertical="top" indent="3" shrinkToFit="1"/>
    </xf>
    <xf numFmtId="4" fontId="4" fillId="0" borderId="22" xfId="0" applyNumberFormat="1" applyFont="1" applyFill="1" applyBorder="1" applyAlignment="1">
      <alignment horizontal="left" vertical="top" indent="3" shrinkToFit="1"/>
    </xf>
    <xf numFmtId="0" fontId="3" fillId="0" borderId="15" xfId="0" applyFont="1" applyFill="1" applyBorder="1" applyAlignment="1">
      <alignment horizontal="left" vertical="top" wrapText="1"/>
    </xf>
    <xf numFmtId="0" fontId="3" fillId="0" borderId="20" xfId="0" applyFont="1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 indent="2"/>
    </xf>
    <xf numFmtId="0" fontId="3" fillId="0" borderId="20" xfId="0" applyFont="1" applyFill="1" applyBorder="1" applyAlignment="1">
      <alignment horizontal="left" vertical="top" wrapText="1" indent="2"/>
    </xf>
    <xf numFmtId="0" fontId="3" fillId="0" borderId="13" xfId="0" applyFont="1" applyFill="1" applyBorder="1" applyAlignment="1">
      <alignment horizontal="left" vertical="top" wrapText="1" indent="2"/>
    </xf>
    <xf numFmtId="0" fontId="3" fillId="0" borderId="23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/>
    </xf>
    <xf numFmtId="0" fontId="0" fillId="0" borderId="21" xfId="0" applyFill="1" applyBorder="1" applyAlignment="1">
      <alignment horizontal="left" vertical="top" wrapText="1"/>
    </xf>
    <xf numFmtId="0" fontId="3" fillId="0" borderId="21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vertical="top" wrapText="1"/>
    </xf>
    <xf numFmtId="0" fontId="0" fillId="0" borderId="6" xfId="0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3" xfId="0" applyFill="1" applyBorder="1" applyAlignment="1">
      <alignment vertical="top"/>
    </xf>
    <xf numFmtId="0" fontId="0" fillId="0" borderId="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8" xfId="0" applyFill="1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0" fillId="0" borderId="9" xfId="0" applyFill="1" applyBorder="1" applyAlignment="1">
      <alignment vertical="top" wrapText="1"/>
    </xf>
    <xf numFmtId="0" fontId="1" fillId="0" borderId="8" xfId="0" applyFont="1" applyFill="1" applyBorder="1" applyAlignment="1">
      <alignment vertical="top" wrapText="1"/>
    </xf>
    <xf numFmtId="0" fontId="1" fillId="0" borderId="7" xfId="0" applyFont="1" applyFill="1" applyBorder="1" applyAlignment="1">
      <alignment vertical="top" wrapText="1"/>
    </xf>
    <xf numFmtId="0" fontId="1" fillId="0" borderId="9" xfId="0" applyFont="1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3" fillId="0" borderId="21" xfId="0" applyFont="1" applyFill="1" applyBorder="1" applyAlignment="1">
      <alignment horizontal="left" vertical="top" wrapText="1"/>
    </xf>
    <xf numFmtId="9" fontId="4" fillId="0" borderId="21" xfId="0" applyNumberFormat="1" applyFont="1" applyFill="1" applyBorder="1" applyAlignment="1">
      <alignment horizontal="right" vertical="top" shrinkToFit="1"/>
    </xf>
    <xf numFmtId="0" fontId="1" fillId="0" borderId="21" xfId="0" applyFont="1" applyFill="1" applyBorder="1" applyAlignment="1">
      <alignment vertical="top" wrapText="1"/>
    </xf>
    <xf numFmtId="0" fontId="3" fillId="0" borderId="2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21" xfId="0" applyFont="1" applyFill="1" applyBorder="1" applyAlignment="1">
      <alignment horizontal="right" vertical="top" wrapText="1"/>
    </xf>
    <xf numFmtId="0" fontId="3" fillId="0" borderId="21" xfId="0" applyFont="1" applyFill="1" applyBorder="1" applyAlignment="1">
      <alignment horizontal="left" vertical="top" wrapText="1" indent="1"/>
    </xf>
    <xf numFmtId="0" fontId="0" fillId="0" borderId="21" xfId="0" applyFill="1" applyBorder="1" applyAlignment="1">
      <alignment wrapText="1"/>
    </xf>
    <xf numFmtId="0" fontId="20" fillId="0" borderId="21" xfId="0" applyFont="1" applyFill="1" applyBorder="1" applyAlignment="1">
      <alignment vertical="top" wrapText="1"/>
    </xf>
    <xf numFmtId="0" fontId="20" fillId="0" borderId="21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center" vertical="top"/>
    </xf>
    <xf numFmtId="0" fontId="0" fillId="0" borderId="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6" fillId="0" borderId="5" xfId="0" applyFont="1" applyFill="1" applyBorder="1" applyAlignment="1">
      <alignment horizontal="center" vertical="top"/>
    </xf>
    <xf numFmtId="0" fontId="0" fillId="0" borderId="6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 vertical="top"/>
    </xf>
    <xf numFmtId="0" fontId="6" fillId="0" borderId="8" xfId="0" applyFont="1" applyFill="1" applyBorder="1" applyAlignment="1">
      <alignment horizontal="center" vertical="top"/>
    </xf>
    <xf numFmtId="0" fontId="6" fillId="0" borderId="7" xfId="0" applyFont="1" applyFill="1" applyBorder="1" applyAlignment="1">
      <alignment horizontal="center" vertical="top"/>
    </xf>
    <xf numFmtId="0" fontId="0" fillId="0" borderId="8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0" fontId="8" fillId="0" borderId="6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8" fillId="0" borderId="3" xfId="0" applyFont="1" applyFill="1" applyBorder="1" applyAlignment="1">
      <alignment horizontal="left" vertical="top"/>
    </xf>
    <xf numFmtId="0" fontId="8" fillId="0" borderId="15" xfId="0" applyFont="1" applyFill="1" applyBorder="1" applyAlignment="1">
      <alignment horizontal="left" vertical="top"/>
    </xf>
    <xf numFmtId="0" fontId="8" fillId="0" borderId="13" xfId="0" applyFont="1" applyFill="1" applyBorder="1" applyAlignment="1">
      <alignment horizontal="left" vertical="top"/>
    </xf>
    <xf numFmtId="0" fontId="8" fillId="0" borderId="16" xfId="0" applyFont="1" applyFill="1" applyBorder="1" applyAlignment="1">
      <alignment horizontal="left" vertical="top"/>
    </xf>
    <xf numFmtId="0" fontId="0" fillId="0" borderId="19" xfId="0" applyFill="1" applyBorder="1" applyAlignment="1">
      <alignment horizontal="left"/>
    </xf>
    <xf numFmtId="0" fontId="8" fillId="0" borderId="8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horizontal="left" vertical="top"/>
    </xf>
    <xf numFmtId="0" fontId="8" fillId="0" borderId="9" xfId="0" applyFont="1" applyFill="1" applyBorder="1" applyAlignment="1">
      <alignment horizontal="left" vertical="top"/>
    </xf>
    <xf numFmtId="0" fontId="8" fillId="0" borderId="18" xfId="0" applyFont="1" applyFill="1" applyBorder="1" applyAlignment="1">
      <alignment horizontal="left" vertical="top"/>
    </xf>
    <xf numFmtId="0" fontId="8" fillId="0" borderId="14" xfId="0" applyFont="1" applyFill="1" applyBorder="1" applyAlignment="1">
      <alignment horizontal="left" vertical="top"/>
    </xf>
    <xf numFmtId="0" fontId="8" fillId="0" borderId="17" xfId="0" applyFont="1" applyFill="1" applyBorder="1" applyAlignment="1">
      <alignment horizontal="left" vertical="top"/>
    </xf>
    <xf numFmtId="0" fontId="8" fillId="0" borderId="12" xfId="0" applyFont="1" applyFill="1" applyBorder="1" applyAlignment="1">
      <alignment horizontal="left" vertical="top"/>
    </xf>
    <xf numFmtId="0" fontId="8" fillId="0" borderId="20" xfId="0" applyFont="1" applyFill="1" applyBorder="1" applyAlignment="1">
      <alignment horizontal="left" vertical="top"/>
    </xf>
    <xf numFmtId="164" fontId="4" fillId="0" borderId="5" xfId="0" applyNumberFormat="1" applyFont="1" applyFill="1" applyBorder="1" applyAlignment="1">
      <alignment horizontal="right" vertical="top" shrinkToFit="1"/>
    </xf>
    <xf numFmtId="164" fontId="0" fillId="0" borderId="5" xfId="0" applyNumberFormat="1" applyFill="1" applyBorder="1" applyAlignment="1">
      <alignment horizontal="left" wrapText="1"/>
    </xf>
    <xf numFmtId="164" fontId="0" fillId="0" borderId="5" xfId="0" applyNumberFormat="1" applyFill="1" applyBorder="1" applyAlignment="1">
      <alignment horizontal="right" wrapText="1"/>
    </xf>
    <xf numFmtId="164" fontId="0" fillId="0" borderId="5" xfId="0" applyNumberFormat="1" applyFill="1" applyBorder="1" applyAlignment="1">
      <alignment horizontal="right"/>
    </xf>
    <xf numFmtId="164" fontId="0" fillId="0" borderId="5" xfId="0" applyNumberFormat="1" applyFill="1" applyBorder="1" applyAlignment="1">
      <alignment horizontal="center"/>
    </xf>
    <xf numFmtId="166" fontId="4" fillId="0" borderId="5" xfId="0" applyNumberFormat="1" applyFont="1" applyFill="1" applyBorder="1" applyAlignment="1">
      <alignment horizontal="right" vertical="top" shrinkToFit="1"/>
    </xf>
    <xf numFmtId="166" fontId="0" fillId="0" borderId="5" xfId="0" applyNumberFormat="1" applyFill="1" applyBorder="1" applyAlignment="1">
      <alignment horizontal="left" wrapText="1"/>
    </xf>
    <xf numFmtId="166" fontId="0" fillId="0" borderId="5" xfId="0" applyNumberFormat="1" applyFill="1" applyBorder="1" applyAlignment="1">
      <alignment horizontal="right" wrapText="1"/>
    </xf>
    <xf numFmtId="164" fontId="0" fillId="0" borderId="5" xfId="0" applyNumberFormat="1" applyFill="1" applyBorder="1" applyAlignment="1">
      <alignment horizontal="left" vertical="center" wrapText="1"/>
    </xf>
    <xf numFmtId="8" fontId="0" fillId="0" borderId="8" xfId="0" applyNumberFormat="1" applyFill="1" applyBorder="1" applyAlignment="1">
      <alignment horizontal="left" vertical="center" wrapText="1"/>
    </xf>
    <xf numFmtId="8" fontId="0" fillId="0" borderId="8" xfId="0" applyNumberFormat="1" applyFill="1" applyBorder="1" applyAlignment="1">
      <alignment horizontal="left" vertical="center" wrapText="1"/>
    </xf>
    <xf numFmtId="8" fontId="0" fillId="0" borderId="5" xfId="0" applyNumberFormat="1" applyFill="1" applyBorder="1" applyAlignment="1">
      <alignment horizontal="left" vertical="center" wrapText="1"/>
    </xf>
    <xf numFmtId="8" fontId="0" fillId="0" borderId="8" xfId="0" applyNumberFormat="1" applyFill="1" applyBorder="1" applyAlignment="1">
      <alignment horizontal="left" wrapText="1"/>
    </xf>
    <xf numFmtId="8" fontId="17" fillId="0" borderId="8" xfId="0" applyNumberFormat="1" applyFont="1" applyFill="1" applyBorder="1" applyAlignment="1">
      <alignment horizontal="left" wrapText="1"/>
    </xf>
    <xf numFmtId="8" fontId="0" fillId="0" borderId="8" xfId="0" applyNumberFormat="1" applyFill="1" applyBorder="1" applyAlignment="1">
      <alignment horizontal="left" wrapText="1"/>
    </xf>
    <xf numFmtId="8" fontId="0" fillId="0" borderId="5" xfId="0" applyNumberFormat="1" applyFill="1" applyBorder="1" applyAlignment="1">
      <alignment horizontal="left" wrapText="1"/>
    </xf>
    <xf numFmtId="1" fontId="4" fillId="0" borderId="14" xfId="0" applyNumberFormat="1" applyFont="1" applyFill="1" applyBorder="1" applyAlignment="1">
      <alignment vertical="top" shrinkToFit="1"/>
    </xf>
    <xf numFmtId="1" fontId="4" fillId="0" borderId="0" xfId="0" applyNumberFormat="1" applyFont="1" applyFill="1" applyBorder="1" applyAlignment="1">
      <alignment vertical="top" shrinkToFit="1"/>
    </xf>
    <xf numFmtId="8" fontId="17" fillId="0" borderId="8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47244</xdr:colOff>
      <xdr:row>25</xdr:row>
      <xdr:rowOff>0</xdr:rowOff>
    </xdr:from>
    <xdr:ext cx="64135" cy="6286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4135" cy="62865"/>
        </a:xfrm>
        <a:custGeom>
          <a:avLst/>
          <a:gdLst/>
          <a:ahLst/>
          <a:cxnLst/>
          <a:rect l="0" t="0" r="0" b="0"/>
          <a:pathLst>
            <a:path w="64135" h="62865">
              <a:moveTo>
                <a:pt x="0" y="0"/>
              </a:moveTo>
              <a:lnTo>
                <a:pt x="0" y="62483"/>
              </a:lnTo>
              <a:lnTo>
                <a:pt x="64007" y="62483"/>
              </a:lnTo>
              <a:lnTo>
                <a:pt x="0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47244</xdr:colOff>
      <xdr:row>3</xdr:row>
      <xdr:rowOff>0</xdr:rowOff>
    </xdr:from>
    <xdr:ext cx="64135" cy="641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10</xdr:col>
      <xdr:colOff>0</xdr:colOff>
      <xdr:row>25</xdr:row>
      <xdr:rowOff>0</xdr:rowOff>
    </xdr:from>
    <xdr:ext cx="62865" cy="6286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10</xdr:col>
      <xdr:colOff>0</xdr:colOff>
      <xdr:row>3</xdr:row>
      <xdr:rowOff>0</xdr:rowOff>
    </xdr:from>
    <xdr:ext cx="62865" cy="6413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47244</xdr:colOff>
      <xdr:row>29</xdr:row>
      <xdr:rowOff>2010165</xdr:rowOff>
    </xdr:from>
    <xdr:ext cx="64135" cy="6286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0" y="0"/>
          <a:ext cx="64135" cy="62865"/>
        </a:xfrm>
        <a:custGeom>
          <a:avLst/>
          <a:gdLst/>
          <a:ahLst/>
          <a:cxnLst/>
          <a:rect l="0" t="0" r="0" b="0"/>
          <a:pathLst>
            <a:path w="64135" h="62865">
              <a:moveTo>
                <a:pt x="0" y="0"/>
              </a:moveTo>
              <a:lnTo>
                <a:pt x="0" y="62483"/>
              </a:lnTo>
              <a:lnTo>
                <a:pt x="64007" y="62483"/>
              </a:lnTo>
              <a:lnTo>
                <a:pt x="0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47244</xdr:colOff>
      <xdr:row>0</xdr:row>
      <xdr:rowOff>47244</xdr:rowOff>
    </xdr:from>
    <xdr:ext cx="64135" cy="6413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12</xdr:col>
      <xdr:colOff>278008</xdr:colOff>
      <xdr:row>29</xdr:row>
      <xdr:rowOff>2010165</xdr:rowOff>
    </xdr:from>
    <xdr:ext cx="62865" cy="6286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12</xdr:col>
      <xdr:colOff>283470</xdr:colOff>
      <xdr:row>0</xdr:row>
      <xdr:rowOff>47244</xdr:rowOff>
    </xdr:from>
    <xdr:ext cx="62865" cy="6413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0" y="0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47244</xdr:colOff>
      <xdr:row>28</xdr:row>
      <xdr:rowOff>2947424</xdr:rowOff>
    </xdr:from>
    <xdr:ext cx="64135" cy="6286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0" y="0"/>
          <a:ext cx="64135" cy="62865"/>
        </a:xfrm>
        <a:custGeom>
          <a:avLst/>
          <a:gdLst/>
          <a:ahLst/>
          <a:cxnLst/>
          <a:rect l="0" t="0" r="0" b="0"/>
          <a:pathLst>
            <a:path w="64135" h="62865">
              <a:moveTo>
                <a:pt x="0" y="0"/>
              </a:moveTo>
              <a:lnTo>
                <a:pt x="0" y="62483"/>
              </a:lnTo>
              <a:lnTo>
                <a:pt x="64007" y="62483"/>
              </a:lnTo>
              <a:lnTo>
                <a:pt x="0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47244</xdr:colOff>
      <xdr:row>2</xdr:row>
      <xdr:rowOff>0</xdr:rowOff>
    </xdr:from>
    <xdr:ext cx="64135" cy="6413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14</xdr:col>
      <xdr:colOff>279278</xdr:colOff>
      <xdr:row>28</xdr:row>
      <xdr:rowOff>2947424</xdr:rowOff>
    </xdr:from>
    <xdr:ext cx="62865" cy="6286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14</xdr:col>
      <xdr:colOff>283469</xdr:colOff>
      <xdr:row>2</xdr:row>
      <xdr:rowOff>0</xdr:rowOff>
    </xdr:from>
    <xdr:ext cx="62865" cy="6413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0" y="0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47244</xdr:colOff>
      <xdr:row>36</xdr:row>
      <xdr:rowOff>1671837</xdr:rowOff>
    </xdr:from>
    <xdr:ext cx="64135" cy="6286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0" y="0"/>
          <a:ext cx="64135" cy="62865"/>
        </a:xfrm>
        <a:custGeom>
          <a:avLst/>
          <a:gdLst/>
          <a:ahLst/>
          <a:cxnLst/>
          <a:rect l="0" t="0" r="0" b="0"/>
          <a:pathLst>
            <a:path w="64135" h="62865">
              <a:moveTo>
                <a:pt x="0" y="0"/>
              </a:moveTo>
              <a:lnTo>
                <a:pt x="0" y="62483"/>
              </a:lnTo>
              <a:lnTo>
                <a:pt x="64007" y="62483"/>
              </a:lnTo>
              <a:lnTo>
                <a:pt x="0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47244</xdr:colOff>
      <xdr:row>1</xdr:row>
      <xdr:rowOff>0</xdr:rowOff>
    </xdr:from>
    <xdr:ext cx="64135" cy="6413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12</xdr:col>
      <xdr:colOff>290708</xdr:colOff>
      <xdr:row>36</xdr:row>
      <xdr:rowOff>1671837</xdr:rowOff>
    </xdr:from>
    <xdr:ext cx="62865" cy="6286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12</xdr:col>
      <xdr:colOff>283470</xdr:colOff>
      <xdr:row>1</xdr:row>
      <xdr:rowOff>0</xdr:rowOff>
    </xdr:from>
    <xdr:ext cx="62865" cy="6413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0" y="0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141143</xdr:colOff>
      <xdr:row>1</xdr:row>
      <xdr:rowOff>0</xdr:rowOff>
    </xdr:from>
    <xdr:ext cx="5349480" cy="3546133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4518" y="134115"/>
          <a:ext cx="5349480" cy="3546133"/>
        </a:xfrm>
        <a:prstGeom prst="rect">
          <a:avLst/>
        </a:prstGeom>
      </xdr:spPr>
    </xdr:pic>
    <xdr:clientData/>
  </xdr:oneCellAnchor>
  <xdr:absoluteAnchor>
    <xdr:pos x="47244" y="9301108"/>
    <xdr:ext cx="64135" cy="6286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0" y="0"/>
          <a:ext cx="64135" cy="62865"/>
        </a:xfrm>
        <a:custGeom>
          <a:avLst/>
          <a:gdLst/>
          <a:ahLst/>
          <a:cxnLst/>
          <a:rect l="0" t="0" r="0" b="0"/>
          <a:pathLst>
            <a:path w="64135" h="62865">
              <a:moveTo>
                <a:pt x="0" y="0"/>
              </a:moveTo>
              <a:lnTo>
                <a:pt x="0" y="62483"/>
              </a:lnTo>
              <a:lnTo>
                <a:pt x="64007" y="62483"/>
              </a:lnTo>
              <a:lnTo>
                <a:pt x="0" y="0"/>
              </a:lnTo>
              <a:close/>
            </a:path>
          </a:pathLst>
        </a:custGeom>
        <a:solidFill>
          <a:srgbClr val="999999"/>
        </a:solidFill>
      </xdr:spPr>
    </xdr:sp>
    <xdr:clientData/>
  </xdr:absoluteAnchor>
  <xdr:oneCellAnchor>
    <xdr:from>
      <xdr:col>0</xdr:col>
      <xdr:colOff>47244</xdr:colOff>
      <xdr:row>1</xdr:row>
      <xdr:rowOff>0</xdr:rowOff>
    </xdr:from>
    <xdr:ext cx="64135" cy="6413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absoluteAnchor>
    <xdr:pos x="7021073" y="9301108"/>
    <xdr:ext cx="62865" cy="6286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absoluteAnchor>
  <xdr:oneCellAnchor>
    <xdr:from>
      <xdr:col>8</xdr:col>
      <xdr:colOff>283470</xdr:colOff>
      <xdr:row>1</xdr:row>
      <xdr:rowOff>0</xdr:rowOff>
    </xdr:from>
    <xdr:ext cx="62865" cy="6413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0" y="0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47244" y="9298440"/>
    <xdr:ext cx="64135" cy="6286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0" y="0"/>
          <a:ext cx="64135" cy="62865"/>
        </a:xfrm>
        <a:custGeom>
          <a:avLst/>
          <a:gdLst/>
          <a:ahLst/>
          <a:cxnLst/>
          <a:rect l="0" t="0" r="0" b="0"/>
          <a:pathLst>
            <a:path w="64135" h="62865">
              <a:moveTo>
                <a:pt x="0" y="0"/>
              </a:moveTo>
              <a:lnTo>
                <a:pt x="0" y="62483"/>
              </a:lnTo>
              <a:lnTo>
                <a:pt x="64007" y="62483"/>
              </a:lnTo>
              <a:lnTo>
                <a:pt x="0" y="0"/>
              </a:lnTo>
              <a:close/>
            </a:path>
          </a:pathLst>
        </a:custGeom>
        <a:solidFill>
          <a:srgbClr val="999999"/>
        </a:solidFill>
      </xdr:spPr>
    </xdr:sp>
    <xdr:clientData/>
  </xdr:absoluteAnchor>
  <xdr:oneCellAnchor>
    <xdr:from>
      <xdr:col>0</xdr:col>
      <xdr:colOff>47244</xdr:colOff>
      <xdr:row>0</xdr:row>
      <xdr:rowOff>47244</xdr:rowOff>
    </xdr:from>
    <xdr:ext cx="64135" cy="6413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absoluteAnchor>
    <xdr:pos x="7021073" y="9298440"/>
    <xdr:ext cx="62865" cy="6286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absoluteAnchor>
  <xdr:oneCellAnchor>
    <xdr:from>
      <xdr:col>10</xdr:col>
      <xdr:colOff>283470</xdr:colOff>
      <xdr:row>0</xdr:row>
      <xdr:rowOff>47244</xdr:rowOff>
    </xdr:from>
    <xdr:ext cx="62865" cy="6413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/>
      </xdr:nvSpPr>
      <xdr:spPr>
        <a:xfrm>
          <a:off x="0" y="0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lorlando.blogsp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25"/>
  <sheetViews>
    <sheetView zoomScale="150" zoomScaleNormal="150" workbookViewId="0">
      <selection activeCell="J25" sqref="J25"/>
    </sheetView>
  </sheetViews>
  <sheetFormatPr defaultRowHeight="12.75"/>
  <cols>
    <col min="1" max="1" width="3.1640625" customWidth="1"/>
    <col min="2" max="2" width="8.83203125" customWidth="1"/>
    <col min="3" max="3" width="10.5" customWidth="1"/>
    <col min="4" max="4" width="14.6640625" customWidth="1"/>
    <col min="5" max="5" width="15.83203125" customWidth="1"/>
    <col min="6" max="6" width="12.83203125" customWidth="1"/>
    <col min="7" max="7" width="16.5" customWidth="1"/>
    <col min="8" max="8" width="15.1640625" customWidth="1"/>
    <col min="9" max="9" width="13" customWidth="1"/>
    <col min="10" max="10" width="15.5" customWidth="1"/>
  </cols>
  <sheetData>
    <row r="4" spans="1:10" ht="13.7" customHeight="1">
      <c r="A4" s="44"/>
      <c r="B4" s="4" t="s">
        <v>0</v>
      </c>
      <c r="C4" s="5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</row>
    <row r="5" spans="1:10" ht="13.5" customHeight="1">
      <c r="A5" s="44"/>
      <c r="B5" s="7">
        <v>1</v>
      </c>
      <c r="C5" s="8" t="s">
        <v>9</v>
      </c>
      <c r="D5" s="181">
        <v>4500</v>
      </c>
      <c r="E5" s="181">
        <v>5040</v>
      </c>
      <c r="F5" s="181">
        <v>5696</v>
      </c>
      <c r="G5" s="183">
        <f>SUM(D5:F5)</f>
        <v>15236</v>
      </c>
      <c r="H5" s="183">
        <f>MAX(D5:F5)</f>
        <v>5696</v>
      </c>
      <c r="I5" s="183">
        <f>MIN(D5:F5)</f>
        <v>4500</v>
      </c>
      <c r="J5" s="183">
        <f>AVERAGE(D5:F5)</f>
        <v>5078.666666666667</v>
      </c>
    </row>
    <row r="6" spans="1:10" ht="13.5" customHeight="1">
      <c r="A6" s="44"/>
      <c r="B6" s="7">
        <v>2</v>
      </c>
      <c r="C6" s="8" t="s">
        <v>10</v>
      </c>
      <c r="D6" s="181">
        <v>6250</v>
      </c>
      <c r="E6" s="181">
        <v>7000</v>
      </c>
      <c r="F6" s="181">
        <v>7910</v>
      </c>
      <c r="G6" s="183">
        <f t="shared" ref="G6:G10" si="0">SUM(D6:F6)</f>
        <v>21160</v>
      </c>
      <c r="H6" s="183">
        <f t="shared" ref="H6:H10" si="1">MAX(D6:F6)</f>
        <v>7910</v>
      </c>
      <c r="I6" s="183">
        <f t="shared" ref="I6:I10" si="2">MIN(D6:F6)</f>
        <v>6250</v>
      </c>
      <c r="J6" s="184">
        <f>AVERAGE(D6:F6)</f>
        <v>7053.333333333333</v>
      </c>
    </row>
    <row r="7" spans="1:10" ht="13.5" customHeight="1">
      <c r="A7" s="44"/>
      <c r="B7" s="7">
        <v>3</v>
      </c>
      <c r="C7" s="8" t="s">
        <v>11</v>
      </c>
      <c r="D7" s="181">
        <v>3300</v>
      </c>
      <c r="E7" s="181">
        <v>3696</v>
      </c>
      <c r="F7" s="181">
        <v>4176</v>
      </c>
      <c r="G7" s="183">
        <f t="shared" si="0"/>
        <v>11172</v>
      </c>
      <c r="H7" s="183">
        <f t="shared" si="1"/>
        <v>4176</v>
      </c>
      <c r="I7" s="183">
        <f t="shared" si="2"/>
        <v>3300</v>
      </c>
      <c r="J7" s="184">
        <f t="shared" ref="J7:J10" si="3">AVERAGE(D7:F7)</f>
        <v>3724</v>
      </c>
    </row>
    <row r="8" spans="1:10" ht="13.5" customHeight="1">
      <c r="A8" s="44"/>
      <c r="B8" s="7">
        <v>4</v>
      </c>
      <c r="C8" s="8" t="s">
        <v>12</v>
      </c>
      <c r="D8" s="181">
        <v>8000</v>
      </c>
      <c r="E8" s="181">
        <v>8690</v>
      </c>
      <c r="F8" s="181">
        <v>10125</v>
      </c>
      <c r="G8" s="183">
        <f t="shared" si="0"/>
        <v>26815</v>
      </c>
      <c r="H8" s="185">
        <f>MAX(D8:F8)</f>
        <v>10125</v>
      </c>
      <c r="I8" s="183">
        <f t="shared" si="2"/>
        <v>8000</v>
      </c>
      <c r="J8" s="184">
        <f t="shared" si="3"/>
        <v>8938.3333333333339</v>
      </c>
    </row>
    <row r="9" spans="1:10" ht="13.5" customHeight="1">
      <c r="A9" s="44"/>
      <c r="B9" s="7">
        <v>5</v>
      </c>
      <c r="C9" s="8" t="s">
        <v>13</v>
      </c>
      <c r="D9" s="181">
        <v>4557</v>
      </c>
      <c r="E9" s="181">
        <v>5104</v>
      </c>
      <c r="F9" s="181">
        <v>5676</v>
      </c>
      <c r="G9" s="183">
        <f t="shared" si="0"/>
        <v>15337</v>
      </c>
      <c r="H9" s="183">
        <f t="shared" si="1"/>
        <v>5676</v>
      </c>
      <c r="I9" s="183">
        <f t="shared" si="2"/>
        <v>4557</v>
      </c>
      <c r="J9" s="184">
        <f t="shared" si="3"/>
        <v>5112.333333333333</v>
      </c>
    </row>
    <row r="10" spans="1:10" ht="13.5" customHeight="1">
      <c r="A10" s="44"/>
      <c r="B10" s="7">
        <v>6</v>
      </c>
      <c r="C10" s="8" t="s">
        <v>14</v>
      </c>
      <c r="D10" s="181">
        <v>3260</v>
      </c>
      <c r="E10" s="181">
        <v>3640</v>
      </c>
      <c r="F10" s="181">
        <v>4113</v>
      </c>
      <c r="G10" s="183">
        <f t="shared" si="0"/>
        <v>11013</v>
      </c>
      <c r="H10" s="183">
        <f t="shared" si="1"/>
        <v>4113</v>
      </c>
      <c r="I10" s="183">
        <f t="shared" si="2"/>
        <v>3260</v>
      </c>
      <c r="J10" s="184">
        <f t="shared" si="3"/>
        <v>3671</v>
      </c>
    </row>
    <row r="11" spans="1:10" ht="14.25" customHeight="1">
      <c r="A11" s="10"/>
      <c r="B11" s="46"/>
      <c r="C11" s="46"/>
      <c r="D11" s="46"/>
      <c r="E11" s="46"/>
      <c r="F11" s="46"/>
      <c r="G11" s="46"/>
      <c r="H11" s="46"/>
      <c r="I11" s="46"/>
      <c r="J11" s="46"/>
    </row>
    <row r="12" spans="1:10" ht="14.25" customHeight="1">
      <c r="A12" s="13"/>
      <c r="B12" s="4" t="s">
        <v>15</v>
      </c>
      <c r="C12" s="187"/>
      <c r="D12" s="182">
        <f>SUM(D5:D10)</f>
        <v>29867</v>
      </c>
      <c r="E12" s="182">
        <f>SUM(E5:E10)</f>
        <v>33170</v>
      </c>
      <c r="F12" s="182">
        <f>SUM(F5:F10)</f>
        <v>37696</v>
      </c>
      <c r="G12" s="182">
        <f>SUM(G5:G10)</f>
        <v>100733</v>
      </c>
      <c r="H12" s="182">
        <f>SUM(H5:H10)</f>
        <v>37696</v>
      </c>
      <c r="I12" s="182">
        <f>SUM(I5:I10)</f>
        <v>29867</v>
      </c>
      <c r="J12" s="182">
        <f>SUM(J5:J10)</f>
        <v>33577.666666666672</v>
      </c>
    </row>
    <row r="13" spans="1:10" ht="14.25" customHeight="1">
      <c r="A13" s="10"/>
      <c r="B13" s="46"/>
      <c r="C13" s="46"/>
      <c r="D13" s="46"/>
      <c r="E13" s="46"/>
      <c r="F13" s="46"/>
      <c r="G13" s="46"/>
      <c r="H13" s="46"/>
      <c r="I13" s="46"/>
      <c r="J13" s="46"/>
    </row>
    <row r="14" spans="1:10" ht="13.7" customHeight="1">
      <c r="A14" s="44"/>
      <c r="B14" s="4" t="s">
        <v>0</v>
      </c>
      <c r="C14" s="5" t="s">
        <v>1</v>
      </c>
      <c r="D14" s="6" t="s">
        <v>16</v>
      </c>
      <c r="E14" s="6" t="s">
        <v>17</v>
      </c>
      <c r="F14" s="6" t="s">
        <v>18</v>
      </c>
      <c r="G14" s="6" t="s">
        <v>19</v>
      </c>
      <c r="H14" s="6" t="s">
        <v>6</v>
      </c>
      <c r="I14" s="6" t="s">
        <v>7</v>
      </c>
      <c r="J14" s="6" t="s">
        <v>8</v>
      </c>
    </row>
    <row r="15" spans="1:10" ht="13.5" customHeight="1">
      <c r="A15" s="44"/>
      <c r="B15" s="7">
        <v>1</v>
      </c>
      <c r="C15" s="8" t="s">
        <v>9</v>
      </c>
      <c r="D15" s="186">
        <v>6265</v>
      </c>
      <c r="E15" s="186">
        <v>6954</v>
      </c>
      <c r="F15" s="186">
        <v>7858</v>
      </c>
      <c r="G15" s="188">
        <f>SUM(D15:F15)</f>
        <v>21077</v>
      </c>
      <c r="H15" s="188">
        <f>MAX(D15:F15)</f>
        <v>7858</v>
      </c>
      <c r="I15" s="188">
        <f>MIN(D15:F15)</f>
        <v>6265</v>
      </c>
      <c r="J15" s="188">
        <f>AVERAGE(D15:F15)</f>
        <v>7025.666666666667</v>
      </c>
    </row>
    <row r="16" spans="1:10" ht="13.5" customHeight="1">
      <c r="A16" s="44"/>
      <c r="B16" s="7">
        <v>2</v>
      </c>
      <c r="C16" s="8" t="s">
        <v>10</v>
      </c>
      <c r="D16" s="186">
        <v>8701</v>
      </c>
      <c r="E16" s="186">
        <v>9658</v>
      </c>
      <c r="F16" s="186">
        <v>10197</v>
      </c>
      <c r="G16" s="188">
        <f t="shared" ref="G16:G20" si="4">SUM(D16:F16)</f>
        <v>28556</v>
      </c>
      <c r="H16" s="188">
        <f t="shared" ref="H16:H20" si="5">MAX(D16:F16)</f>
        <v>10197</v>
      </c>
      <c r="I16" s="188">
        <f t="shared" ref="I16:I20" si="6">MIN(D16:F16)</f>
        <v>8701</v>
      </c>
      <c r="J16" s="188">
        <f t="shared" ref="J16:J20" si="7">AVERAGE(D16:F16)</f>
        <v>9518.6666666666661</v>
      </c>
    </row>
    <row r="17" spans="1:10" ht="13.5" customHeight="1">
      <c r="A17" s="44"/>
      <c r="B17" s="7">
        <v>3</v>
      </c>
      <c r="C17" s="8" t="s">
        <v>11</v>
      </c>
      <c r="D17" s="186">
        <v>4569</v>
      </c>
      <c r="E17" s="186">
        <v>5099</v>
      </c>
      <c r="F17" s="186">
        <v>5769</v>
      </c>
      <c r="G17" s="188">
        <f t="shared" si="4"/>
        <v>15437</v>
      </c>
      <c r="H17" s="188">
        <f t="shared" si="5"/>
        <v>5769</v>
      </c>
      <c r="I17" s="188">
        <f t="shared" si="6"/>
        <v>4569</v>
      </c>
      <c r="J17" s="188">
        <f t="shared" si="7"/>
        <v>5145.666666666667</v>
      </c>
    </row>
    <row r="18" spans="1:10" ht="13.5" customHeight="1">
      <c r="A18" s="44"/>
      <c r="B18" s="7">
        <v>4</v>
      </c>
      <c r="C18" s="8" t="s">
        <v>12</v>
      </c>
      <c r="D18" s="186">
        <v>12341</v>
      </c>
      <c r="E18" s="186">
        <v>12365</v>
      </c>
      <c r="F18" s="186">
        <v>13969</v>
      </c>
      <c r="G18" s="188">
        <f t="shared" si="4"/>
        <v>38675</v>
      </c>
      <c r="H18" s="188">
        <f t="shared" si="5"/>
        <v>13969</v>
      </c>
      <c r="I18" s="188">
        <f t="shared" si="6"/>
        <v>12341</v>
      </c>
      <c r="J18" s="188">
        <f t="shared" si="7"/>
        <v>12891.666666666666</v>
      </c>
    </row>
    <row r="19" spans="1:10" ht="13.5" customHeight="1">
      <c r="A19" s="44"/>
      <c r="B19" s="7">
        <v>5</v>
      </c>
      <c r="C19" s="8" t="s">
        <v>13</v>
      </c>
      <c r="D19" s="186">
        <v>6344</v>
      </c>
      <c r="E19" s="186">
        <v>7042</v>
      </c>
      <c r="F19" s="186">
        <v>7957</v>
      </c>
      <c r="G19" s="188">
        <f t="shared" si="4"/>
        <v>21343</v>
      </c>
      <c r="H19" s="188">
        <f t="shared" si="5"/>
        <v>7957</v>
      </c>
      <c r="I19" s="188">
        <f t="shared" si="6"/>
        <v>6344</v>
      </c>
      <c r="J19" s="188">
        <f t="shared" si="7"/>
        <v>7114.333333333333</v>
      </c>
    </row>
    <row r="20" spans="1:10" ht="13.5" customHeight="1">
      <c r="A20" s="44"/>
      <c r="B20" s="7">
        <v>6</v>
      </c>
      <c r="C20" s="8" t="s">
        <v>14</v>
      </c>
      <c r="D20" s="186">
        <v>4525</v>
      </c>
      <c r="E20" s="186">
        <v>5022</v>
      </c>
      <c r="F20" s="186">
        <v>5671</v>
      </c>
      <c r="G20" s="188">
        <f t="shared" si="4"/>
        <v>15218</v>
      </c>
      <c r="H20" s="188">
        <f t="shared" si="5"/>
        <v>5671</v>
      </c>
      <c r="I20" s="188">
        <f t="shared" si="6"/>
        <v>4525</v>
      </c>
      <c r="J20" s="188">
        <f t="shared" si="7"/>
        <v>5072.666666666667</v>
      </c>
    </row>
    <row r="21" spans="1:10" ht="14.25" customHeight="1">
      <c r="A21" s="10"/>
      <c r="B21" s="46"/>
      <c r="C21" s="46"/>
      <c r="D21" s="46"/>
      <c r="E21" s="46"/>
      <c r="F21" s="46"/>
      <c r="G21" s="46"/>
      <c r="H21" s="46"/>
      <c r="I21" s="46"/>
      <c r="J21" s="46"/>
    </row>
    <row r="22" spans="1:10" ht="14.25" customHeight="1">
      <c r="A22" s="13"/>
      <c r="B22" s="4" t="s">
        <v>15</v>
      </c>
      <c r="C22" s="9"/>
      <c r="D22" s="187">
        <f>SUM(D15:D20)</f>
        <v>42745</v>
      </c>
      <c r="E22" s="187">
        <f>SUM(E15:E20)</f>
        <v>46140</v>
      </c>
      <c r="F22" s="187">
        <f>SUM(F15)</f>
        <v>7858</v>
      </c>
      <c r="G22" s="187">
        <f>SUM(G15:G20)</f>
        <v>140306</v>
      </c>
      <c r="H22" s="187">
        <f>SUM(H15:H20)</f>
        <v>51421</v>
      </c>
      <c r="I22" s="187">
        <f>SUM(I15:I20)</f>
        <v>42745</v>
      </c>
      <c r="J22" s="187">
        <f>SUM(J15:J20)</f>
        <v>46768.666666666664</v>
      </c>
    </row>
    <row r="23" spans="1:10" ht="14.25" customHeight="1">
      <c r="A23" s="10"/>
      <c r="B23" s="46"/>
      <c r="C23" s="46"/>
      <c r="D23" s="46"/>
      <c r="E23" s="46"/>
      <c r="F23" s="46"/>
      <c r="G23" s="46"/>
      <c r="H23" s="46"/>
      <c r="I23" s="46"/>
      <c r="J23" s="46"/>
    </row>
    <row r="24" spans="1:10" ht="27" customHeight="1">
      <c r="A24" s="15"/>
      <c r="B24" s="50" t="s">
        <v>20</v>
      </c>
      <c r="C24" s="51"/>
      <c r="D24" s="189">
        <f>SUM(D12,D22)</f>
        <v>72612</v>
      </c>
      <c r="E24" s="189">
        <f>SUM(E12,E22)</f>
        <v>79310</v>
      </c>
      <c r="F24" s="189">
        <f>SUM(F12,F22)</f>
        <v>45554</v>
      </c>
      <c r="G24" s="189">
        <f>SUM(G12,G22)</f>
        <v>241039</v>
      </c>
      <c r="H24" s="189">
        <f>SUM(H12,H22)</f>
        <v>89117</v>
      </c>
      <c r="I24" s="189">
        <f>SUM(I12,I22)</f>
        <v>72612</v>
      </c>
      <c r="J24" s="189">
        <f>SUM(J12,J22)</f>
        <v>80346.333333333343</v>
      </c>
    </row>
    <row r="25" spans="1:10" ht="12.75" customHeight="1">
      <c r="A25" s="21"/>
      <c r="B25" s="24"/>
      <c r="C25" s="24"/>
      <c r="D25" s="21"/>
      <c r="E25" s="21"/>
      <c r="F25" s="21"/>
      <c r="G25" s="21"/>
      <c r="H25" s="21"/>
      <c r="I25" s="21"/>
      <c r="J25" s="21"/>
    </row>
  </sheetData>
  <mergeCells count="7">
    <mergeCell ref="B24:C24"/>
    <mergeCell ref="B21:J21"/>
    <mergeCell ref="B23:J23"/>
    <mergeCell ref="B13:J13"/>
    <mergeCell ref="A14:A20"/>
    <mergeCell ref="A4:A10"/>
    <mergeCell ref="B11:J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5"/>
  <sheetViews>
    <sheetView tabSelected="1" workbookViewId="0">
      <selection activeCell="E23" sqref="E23"/>
    </sheetView>
  </sheetViews>
  <sheetFormatPr defaultRowHeight="12.75"/>
  <cols>
    <col min="1" max="1" width="3.1640625" customWidth="1"/>
    <col min="2" max="2" width="4.83203125" customWidth="1"/>
    <col min="3" max="3" width="16.6640625" customWidth="1"/>
    <col min="4" max="4" width="2" customWidth="1"/>
    <col min="5" max="5" width="13.5" customWidth="1"/>
    <col min="6" max="6" width="12.83203125" customWidth="1"/>
    <col min="7" max="7" width="1.1640625" customWidth="1"/>
    <col min="8" max="8" width="11.83203125" customWidth="1"/>
    <col min="9" max="9" width="2.5" customWidth="1"/>
    <col min="10" max="10" width="10.6640625" customWidth="1"/>
    <col min="11" max="11" width="15.1640625" customWidth="1"/>
    <col min="12" max="12" width="3.83203125" customWidth="1"/>
  </cols>
  <sheetData>
    <row r="1" spans="1:12" ht="38.25" customHeight="1">
      <c r="A1" s="1"/>
      <c r="B1" s="93" t="s">
        <v>202</v>
      </c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13.5" customHeight="1">
      <c r="A2" s="54"/>
      <c r="B2" s="55"/>
      <c r="C2" s="56"/>
      <c r="D2" s="57" t="s">
        <v>21</v>
      </c>
      <c r="E2" s="58"/>
      <c r="F2" s="57" t="s">
        <v>22</v>
      </c>
      <c r="G2" s="58"/>
      <c r="H2" s="57" t="s">
        <v>23</v>
      </c>
      <c r="I2" s="58"/>
      <c r="J2" s="19" t="s">
        <v>24</v>
      </c>
      <c r="K2" s="8" t="s">
        <v>25</v>
      </c>
      <c r="L2" s="52"/>
    </row>
    <row r="3" spans="1:12" ht="13.5" customHeight="1">
      <c r="A3" s="54"/>
      <c r="B3" s="57" t="s">
        <v>26</v>
      </c>
      <c r="C3" s="58"/>
      <c r="D3" s="95">
        <v>500</v>
      </c>
      <c r="E3" s="60"/>
      <c r="F3" s="96">
        <v>750</v>
      </c>
      <c r="G3" s="58"/>
      <c r="H3" s="96">
        <v>800</v>
      </c>
      <c r="I3" s="58"/>
      <c r="J3" s="97">
        <v>700</v>
      </c>
      <c r="K3" s="98">
        <v>700</v>
      </c>
      <c r="L3" s="52"/>
    </row>
    <row r="4" spans="1:12" ht="14.25" customHeight="1">
      <c r="A4" s="10"/>
      <c r="B4" s="46"/>
      <c r="C4" s="46"/>
      <c r="D4" s="46"/>
      <c r="E4" s="46"/>
      <c r="F4" s="46"/>
      <c r="G4" s="46"/>
      <c r="H4" s="46"/>
      <c r="I4" s="46"/>
      <c r="J4" s="46"/>
      <c r="K4" s="46"/>
      <c r="L4" s="12"/>
    </row>
    <row r="5" spans="1:12" ht="13.5" customHeight="1">
      <c r="A5" s="44"/>
      <c r="B5" s="57" t="s">
        <v>27</v>
      </c>
      <c r="C5" s="58"/>
      <c r="D5" s="55"/>
      <c r="E5" s="56"/>
      <c r="F5" s="55"/>
      <c r="G5" s="56"/>
      <c r="H5" s="55"/>
      <c r="I5" s="56"/>
      <c r="J5" s="17"/>
      <c r="K5" s="9"/>
      <c r="L5" s="45"/>
    </row>
    <row r="6" spans="1:12" ht="13.5" customHeight="1">
      <c r="A6" s="44"/>
      <c r="B6" s="57" t="s">
        <v>28</v>
      </c>
      <c r="C6" s="58"/>
      <c r="D6" s="95">
        <v>10</v>
      </c>
      <c r="E6" s="60"/>
      <c r="F6" s="96">
        <v>15</v>
      </c>
      <c r="G6" s="58"/>
      <c r="H6" s="96">
        <v>15</v>
      </c>
      <c r="I6" s="58"/>
      <c r="J6" s="97">
        <v>12</v>
      </c>
      <c r="K6" s="98">
        <v>11</v>
      </c>
      <c r="L6" s="45"/>
    </row>
    <row r="7" spans="1:12" ht="13.5" customHeight="1">
      <c r="A7" s="44"/>
      <c r="B7" s="57" t="s">
        <v>29</v>
      </c>
      <c r="C7" s="58"/>
      <c r="D7" s="95">
        <v>50</v>
      </c>
      <c r="E7" s="60"/>
      <c r="F7" s="96">
        <v>60</v>
      </c>
      <c r="G7" s="58"/>
      <c r="H7" s="96">
        <v>54</v>
      </c>
      <c r="I7" s="58"/>
      <c r="J7" s="97">
        <v>55</v>
      </c>
      <c r="K7" s="98">
        <v>56</v>
      </c>
      <c r="L7" s="45"/>
    </row>
    <row r="8" spans="1:12" ht="13.5" customHeight="1">
      <c r="A8" s="44"/>
      <c r="B8" s="57" t="s">
        <v>30</v>
      </c>
      <c r="C8" s="58"/>
      <c r="D8" s="95">
        <v>300</v>
      </c>
      <c r="E8" s="60"/>
      <c r="F8" s="96">
        <v>250</v>
      </c>
      <c r="G8" s="58"/>
      <c r="H8" s="96">
        <v>300</v>
      </c>
      <c r="I8" s="58"/>
      <c r="J8" s="97">
        <v>300</v>
      </c>
      <c r="K8" s="98">
        <v>200</v>
      </c>
      <c r="L8" s="45"/>
    </row>
    <row r="9" spans="1:12" ht="13.5" customHeight="1">
      <c r="A9" s="44"/>
      <c r="B9" s="57" t="s">
        <v>31</v>
      </c>
      <c r="C9" s="58"/>
      <c r="D9" s="95">
        <v>40</v>
      </c>
      <c r="E9" s="60"/>
      <c r="F9" s="96">
        <v>40</v>
      </c>
      <c r="G9" s="58"/>
      <c r="H9" s="96">
        <v>40</v>
      </c>
      <c r="I9" s="58"/>
      <c r="J9" s="97">
        <v>40</v>
      </c>
      <c r="K9" s="98">
        <v>40</v>
      </c>
      <c r="L9" s="45"/>
    </row>
    <row r="10" spans="1:12" ht="13.5" customHeight="1">
      <c r="A10" s="44"/>
      <c r="B10" s="57" t="s">
        <v>32</v>
      </c>
      <c r="C10" s="58"/>
      <c r="D10" s="95">
        <v>10</v>
      </c>
      <c r="E10" s="60"/>
      <c r="F10" s="96">
        <v>15</v>
      </c>
      <c r="G10" s="58"/>
      <c r="H10" s="96">
        <v>14</v>
      </c>
      <c r="I10" s="58"/>
      <c r="J10" s="97">
        <v>15</v>
      </c>
      <c r="K10" s="98">
        <v>31</v>
      </c>
      <c r="L10" s="45"/>
    </row>
    <row r="11" spans="1:12" ht="13.5" customHeight="1">
      <c r="A11" s="44"/>
      <c r="B11" s="57" t="s">
        <v>33</v>
      </c>
      <c r="C11" s="58"/>
      <c r="D11" s="95">
        <v>120</v>
      </c>
      <c r="E11" s="60"/>
      <c r="F11" s="96">
        <v>150</v>
      </c>
      <c r="G11" s="58"/>
      <c r="H11" s="96">
        <v>130</v>
      </c>
      <c r="I11" s="58"/>
      <c r="J11" s="97">
        <v>200</v>
      </c>
      <c r="K11" s="98">
        <v>190</v>
      </c>
      <c r="L11" s="45"/>
    </row>
    <row r="12" spans="1:12" ht="13.5" customHeight="1">
      <c r="A12" s="44"/>
      <c r="B12" s="57" t="s">
        <v>34</v>
      </c>
      <c r="C12" s="58"/>
      <c r="D12" s="95">
        <v>50</v>
      </c>
      <c r="E12" s="60"/>
      <c r="F12" s="96">
        <v>60</v>
      </c>
      <c r="G12" s="58"/>
      <c r="H12" s="96">
        <v>65</v>
      </c>
      <c r="I12" s="58"/>
      <c r="J12" s="97">
        <v>70</v>
      </c>
      <c r="K12" s="98">
        <v>85</v>
      </c>
      <c r="L12" s="45"/>
    </row>
    <row r="13" spans="1:12" ht="13.5" customHeight="1">
      <c r="A13" s="44"/>
      <c r="B13" s="57" t="s">
        <v>35</v>
      </c>
      <c r="C13" s="58"/>
      <c r="D13" s="95">
        <v>145</v>
      </c>
      <c r="E13" s="60"/>
      <c r="F13" s="96">
        <v>145</v>
      </c>
      <c r="G13" s="58"/>
      <c r="H13" s="96">
        <v>145</v>
      </c>
      <c r="I13" s="58"/>
      <c r="J13" s="97">
        <v>145</v>
      </c>
      <c r="K13" s="98">
        <v>145</v>
      </c>
      <c r="L13" s="45"/>
    </row>
    <row r="14" spans="1:12" ht="14.25" customHeight="1">
      <c r="A14" s="10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12"/>
    </row>
    <row r="15" spans="1:12" ht="23.25" customHeight="1">
      <c r="A15" s="15"/>
      <c r="B15" s="57" t="s">
        <v>36</v>
      </c>
      <c r="C15" s="58"/>
      <c r="D15" s="190">
        <f>SUM(D6:E13)</f>
        <v>725</v>
      </c>
      <c r="E15" s="62"/>
      <c r="F15" s="190">
        <f>SUM(F6:G13)</f>
        <v>735</v>
      </c>
      <c r="G15" s="62"/>
      <c r="H15" s="190">
        <f>SUM(H6:I13)</f>
        <v>763</v>
      </c>
      <c r="I15" s="62"/>
      <c r="J15" s="191">
        <f>SUM(J6:J13)</f>
        <v>837</v>
      </c>
      <c r="K15" s="192">
        <f>SUM(K6:K13)</f>
        <v>758</v>
      </c>
      <c r="L15" s="16"/>
    </row>
    <row r="16" spans="1:12" ht="14.25" customHeight="1">
      <c r="A16" s="10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12"/>
    </row>
    <row r="17" spans="1:12" ht="14.25" customHeight="1">
      <c r="A17" s="13"/>
      <c r="B17" s="57" t="s">
        <v>37</v>
      </c>
      <c r="C17" s="58"/>
      <c r="D17" s="193">
        <f>SUM(D15)</f>
        <v>725</v>
      </c>
      <c r="E17" s="56"/>
      <c r="F17" s="194">
        <f>SUM(F15)</f>
        <v>735</v>
      </c>
      <c r="G17" s="56"/>
      <c r="H17" s="193">
        <f>SUM(H15)</f>
        <v>763</v>
      </c>
      <c r="I17" s="56"/>
      <c r="J17" s="195">
        <f>SUM(J15)</f>
        <v>837</v>
      </c>
      <c r="K17" s="196">
        <f>SUM(K15)</f>
        <v>758</v>
      </c>
      <c r="L17" s="14"/>
    </row>
    <row r="18" spans="1:12" ht="14.25" customHeight="1">
      <c r="A18" s="10"/>
      <c r="B18" s="35"/>
      <c r="C18" s="35"/>
      <c r="D18" s="11"/>
      <c r="E18" s="11"/>
      <c r="F18" s="11"/>
      <c r="G18" s="11"/>
      <c r="H18" s="11"/>
      <c r="I18" s="11"/>
      <c r="J18" s="11"/>
      <c r="K18" s="11"/>
      <c r="L18" s="12"/>
    </row>
    <row r="19" spans="1:12" ht="13.5" customHeight="1">
      <c r="A19" s="44"/>
      <c r="B19" s="25" t="s">
        <v>38</v>
      </c>
      <c r="C19" s="63" t="s">
        <v>39</v>
      </c>
      <c r="D19" s="64"/>
      <c r="E19" s="23" t="s">
        <v>40</v>
      </c>
      <c r="F19" s="26" t="s">
        <v>41</v>
      </c>
      <c r="G19" s="57" t="s">
        <v>42</v>
      </c>
      <c r="H19" s="58"/>
      <c r="I19" s="59" t="s">
        <v>43</v>
      </c>
      <c r="J19" s="60"/>
      <c r="K19" s="57" t="s">
        <v>44</v>
      </c>
      <c r="L19" s="58"/>
    </row>
    <row r="20" spans="1:12" ht="13.5" customHeight="1">
      <c r="A20" s="44"/>
      <c r="B20" s="27">
        <v>1</v>
      </c>
      <c r="C20" s="57" t="s">
        <v>45</v>
      </c>
      <c r="D20" s="58"/>
      <c r="E20" s="98">
        <v>853</v>
      </c>
      <c r="F20" s="28">
        <v>0.1</v>
      </c>
      <c r="G20" s="65">
        <v>0.09</v>
      </c>
      <c r="H20" s="66"/>
      <c r="I20" s="193">
        <f>SUM(E20:H20)</f>
        <v>853.19</v>
      </c>
      <c r="J20" s="56"/>
      <c r="K20" s="193">
        <f>SUM(E20:J20)</f>
        <v>1706.38</v>
      </c>
      <c r="L20" s="56"/>
    </row>
    <row r="21" spans="1:12" ht="13.5" customHeight="1">
      <c r="A21" s="44"/>
      <c r="B21" s="27">
        <v>2</v>
      </c>
      <c r="C21" s="57" t="s">
        <v>46</v>
      </c>
      <c r="D21" s="58"/>
      <c r="E21" s="98">
        <v>951</v>
      </c>
      <c r="F21" s="28">
        <v>9.9900000000000003E-2</v>
      </c>
      <c r="G21" s="65">
        <v>0.08</v>
      </c>
      <c r="H21" s="66"/>
      <c r="I21" s="193">
        <f>SUM(E21:H21)</f>
        <v>951.17990000000009</v>
      </c>
      <c r="J21" s="56"/>
      <c r="K21" s="193">
        <f>SUM(E21:J21)</f>
        <v>1902.3598000000002</v>
      </c>
      <c r="L21" s="56"/>
    </row>
    <row r="22" spans="1:12" ht="13.5" customHeight="1">
      <c r="A22" s="44"/>
      <c r="B22" s="27">
        <v>3</v>
      </c>
      <c r="C22" s="57" t="s">
        <v>47</v>
      </c>
      <c r="D22" s="58"/>
      <c r="E22" s="98">
        <v>456</v>
      </c>
      <c r="F22" s="28">
        <v>8.6400000000000005E-2</v>
      </c>
      <c r="G22" s="65">
        <v>0.06</v>
      </c>
      <c r="H22" s="66"/>
      <c r="I22" s="193">
        <f>SUM(E22:H22)</f>
        <v>456.14640000000003</v>
      </c>
      <c r="J22" s="56"/>
      <c r="K22" s="194">
        <f>SUM(E22:J22)</f>
        <v>912.29280000000006</v>
      </c>
      <c r="L22" s="56"/>
    </row>
    <row r="23" spans="1:12" ht="13.5" customHeight="1">
      <c r="A23" s="44"/>
      <c r="B23" s="27">
        <v>4</v>
      </c>
      <c r="C23" s="19" t="s">
        <v>208</v>
      </c>
      <c r="D23" s="20"/>
      <c r="E23" s="98" t="s">
        <v>210</v>
      </c>
      <c r="F23" s="28"/>
      <c r="G23" s="29"/>
      <c r="H23" s="30"/>
      <c r="I23" s="195"/>
      <c r="J23" s="18"/>
      <c r="K23" s="199"/>
      <c r="L23" s="18"/>
    </row>
    <row r="24" spans="1:12" ht="17.25" customHeight="1">
      <c r="A24" s="44"/>
      <c r="B24" s="27">
        <v>5</v>
      </c>
      <c r="C24" s="19" t="s">
        <v>209</v>
      </c>
      <c r="D24" s="20"/>
      <c r="E24" s="23"/>
      <c r="F24" s="28"/>
      <c r="G24" s="29"/>
      <c r="H24" s="30"/>
      <c r="I24" s="17"/>
      <c r="J24" s="18"/>
      <c r="K24" s="17"/>
      <c r="L24" s="18"/>
    </row>
    <row r="25" spans="1:12" ht="13.5" customHeight="1">
      <c r="A25" s="44"/>
      <c r="B25" s="27">
        <v>6</v>
      </c>
      <c r="C25" s="57" t="s">
        <v>49</v>
      </c>
      <c r="D25" s="58"/>
      <c r="E25" s="98">
        <v>459</v>
      </c>
      <c r="F25" s="28">
        <v>6.25E-2</v>
      </c>
      <c r="G25" s="65">
        <v>0.05</v>
      </c>
      <c r="H25" s="66"/>
      <c r="I25" s="193">
        <f>SUM(E25:H25)</f>
        <v>459.11250000000001</v>
      </c>
      <c r="J25" s="56"/>
      <c r="K25" s="193">
        <f>SUM(E25:J25)</f>
        <v>918.22500000000002</v>
      </c>
      <c r="L25" s="56"/>
    </row>
    <row r="26" spans="1:12" ht="13.5" customHeight="1">
      <c r="A26" s="44"/>
      <c r="B26" s="27">
        <v>7</v>
      </c>
      <c r="C26" s="57" t="s">
        <v>50</v>
      </c>
      <c r="D26" s="58"/>
      <c r="E26" s="98">
        <v>478</v>
      </c>
      <c r="F26" s="28">
        <v>7.1199999999999999E-2</v>
      </c>
      <c r="G26" s="65">
        <v>0.05</v>
      </c>
      <c r="H26" s="66"/>
      <c r="I26" s="193">
        <f>SUM(E26:H26)</f>
        <v>478.12119999999999</v>
      </c>
      <c r="J26" s="56"/>
      <c r="K26" s="193">
        <f>SUM(E26:J26)</f>
        <v>956.24239999999998</v>
      </c>
      <c r="L26" s="56"/>
    </row>
    <row r="27" spans="1:12" ht="13.5" customHeight="1">
      <c r="A27" s="44"/>
      <c r="B27" s="27">
        <v>8</v>
      </c>
      <c r="C27" s="57" t="s">
        <v>51</v>
      </c>
      <c r="D27" s="58"/>
      <c r="E27" s="98">
        <v>658</v>
      </c>
      <c r="F27" s="28">
        <v>5.9900000000000002E-2</v>
      </c>
      <c r="G27" s="65">
        <v>0.04</v>
      </c>
      <c r="H27" s="66"/>
      <c r="I27" s="193">
        <f>SUM(E27:H27)</f>
        <v>658.09989999999993</v>
      </c>
      <c r="J27" s="56"/>
      <c r="K27" s="193">
        <f>SUM(E27:J27)</f>
        <v>1316.1997999999999</v>
      </c>
      <c r="L27" s="56"/>
    </row>
    <row r="28" spans="1:12" ht="13.5" customHeight="1">
      <c r="A28" s="1"/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2"/>
    </row>
    <row r="29" spans="1:12">
      <c r="B29" s="198"/>
      <c r="C29" s="198"/>
      <c r="D29" s="198"/>
      <c r="E29" s="198"/>
      <c r="F29" s="198"/>
      <c r="G29" s="198"/>
      <c r="H29" s="198"/>
      <c r="I29" s="198"/>
      <c r="J29" s="198"/>
      <c r="K29" s="198"/>
    </row>
    <row r="30" spans="1:12">
      <c r="B30" s="198"/>
      <c r="C30" s="198"/>
      <c r="D30" s="198"/>
      <c r="E30" s="198"/>
      <c r="F30" s="198"/>
      <c r="G30" s="198"/>
      <c r="H30" s="198"/>
      <c r="I30" s="198"/>
      <c r="J30" s="198"/>
      <c r="K30" s="198"/>
    </row>
    <row r="31" spans="1:12">
      <c r="B31" s="198"/>
      <c r="C31" s="198"/>
      <c r="D31" s="198"/>
      <c r="E31" s="198"/>
      <c r="F31" s="198"/>
      <c r="G31" s="198"/>
      <c r="H31" s="198"/>
      <c r="I31" s="198"/>
      <c r="J31" s="198"/>
      <c r="K31" s="198"/>
    </row>
    <row r="32" spans="1:12">
      <c r="B32" s="198"/>
      <c r="C32" s="198"/>
      <c r="D32" s="198"/>
      <c r="E32" s="198"/>
      <c r="F32" s="198"/>
      <c r="G32" s="198"/>
      <c r="H32" s="198"/>
      <c r="I32" s="198"/>
      <c r="J32" s="198"/>
      <c r="K32" s="198"/>
    </row>
    <row r="33" spans="2:11">
      <c r="B33" s="198"/>
      <c r="C33" s="198"/>
      <c r="D33" s="198"/>
      <c r="E33" s="198"/>
      <c r="F33" s="198"/>
      <c r="G33" s="198"/>
      <c r="H33" s="198"/>
      <c r="I33" s="198"/>
      <c r="J33" s="198"/>
      <c r="K33" s="198"/>
    </row>
    <row r="34" spans="2:11">
      <c r="B34" s="198"/>
      <c r="C34" s="198"/>
      <c r="D34" s="198"/>
      <c r="E34" s="198"/>
      <c r="F34" s="198"/>
      <c r="G34" s="198"/>
      <c r="H34" s="198"/>
      <c r="I34" s="198"/>
      <c r="J34" s="198"/>
      <c r="K34" s="198"/>
    </row>
    <row r="35" spans="2:11">
      <c r="B35" s="198"/>
      <c r="C35" s="198"/>
      <c r="D35" s="198"/>
      <c r="E35" s="198"/>
      <c r="F35" s="198"/>
      <c r="G35" s="198"/>
      <c r="H35" s="198"/>
      <c r="I35" s="198"/>
      <c r="J35" s="198"/>
      <c r="K35" s="198"/>
    </row>
    <row r="36" spans="2:11">
      <c r="B36" s="198"/>
      <c r="C36" s="198"/>
      <c r="D36" s="198"/>
      <c r="E36" s="198"/>
      <c r="F36" s="198"/>
      <c r="G36" s="198"/>
      <c r="H36" s="198"/>
      <c r="I36" s="198"/>
      <c r="J36" s="198"/>
      <c r="K36" s="198"/>
    </row>
    <row r="37" spans="2:11">
      <c r="B37" s="198"/>
      <c r="C37" s="198"/>
      <c r="D37" s="198"/>
      <c r="E37" s="198"/>
      <c r="F37" s="198"/>
      <c r="G37" s="198"/>
      <c r="H37" s="198"/>
      <c r="I37" s="198"/>
      <c r="J37" s="198"/>
      <c r="K37" s="198"/>
    </row>
    <row r="38" spans="2:11">
      <c r="B38" s="198"/>
      <c r="C38" s="198"/>
      <c r="D38" s="198"/>
      <c r="E38" s="198"/>
      <c r="F38" s="198"/>
      <c r="G38" s="198"/>
      <c r="H38" s="198"/>
      <c r="I38" s="198"/>
      <c r="J38" s="198"/>
      <c r="K38" s="198"/>
    </row>
    <row r="39" spans="2:11">
      <c r="B39" s="198"/>
      <c r="C39" s="198"/>
      <c r="D39" s="198"/>
      <c r="E39" s="198"/>
      <c r="F39" s="198"/>
      <c r="G39" s="198"/>
      <c r="H39" s="198"/>
      <c r="I39" s="198"/>
      <c r="J39" s="198"/>
      <c r="K39" s="198"/>
    </row>
    <row r="40" spans="2:11">
      <c r="B40" s="198"/>
      <c r="C40" s="198"/>
      <c r="D40" s="198"/>
      <c r="E40" s="198"/>
      <c r="F40" s="198"/>
      <c r="G40" s="198"/>
      <c r="H40" s="198"/>
      <c r="I40" s="198"/>
      <c r="J40" s="198"/>
      <c r="K40" s="198"/>
    </row>
    <row r="41" spans="2:11">
      <c r="B41" s="198"/>
      <c r="C41" s="198"/>
      <c r="D41" s="198"/>
      <c r="E41" s="198"/>
      <c r="F41" s="198"/>
      <c r="G41" s="198"/>
      <c r="H41" s="198"/>
      <c r="I41" s="198"/>
      <c r="J41" s="198"/>
      <c r="K41" s="198"/>
    </row>
    <row r="42" spans="2:11">
      <c r="B42" s="198"/>
      <c r="C42" s="198"/>
      <c r="D42" s="198"/>
      <c r="E42" s="198"/>
      <c r="F42" s="198"/>
      <c r="G42" s="198"/>
      <c r="H42" s="198"/>
      <c r="I42" s="198"/>
      <c r="J42" s="198"/>
      <c r="K42" s="198"/>
    </row>
    <row r="43" spans="2:11">
      <c r="B43" s="198"/>
      <c r="C43" s="198"/>
      <c r="D43" s="198"/>
      <c r="E43" s="198"/>
      <c r="F43" s="198"/>
      <c r="G43" s="198"/>
      <c r="H43" s="198"/>
      <c r="I43" s="198"/>
      <c r="J43" s="198"/>
      <c r="K43" s="198"/>
    </row>
    <row r="44" spans="2:11">
      <c r="B44" s="198"/>
      <c r="C44" s="198"/>
      <c r="D44" s="198"/>
      <c r="E44" s="198"/>
      <c r="F44" s="198"/>
      <c r="G44" s="198"/>
      <c r="H44" s="198"/>
      <c r="I44" s="198"/>
      <c r="J44" s="198"/>
      <c r="K44" s="198"/>
    </row>
    <row r="45" spans="2:11">
      <c r="B45" s="198"/>
      <c r="C45" s="198"/>
      <c r="D45" s="198"/>
      <c r="E45" s="198"/>
      <c r="F45" s="198"/>
      <c r="G45" s="198"/>
      <c r="H45" s="198"/>
      <c r="I45" s="198"/>
      <c r="J45" s="198"/>
      <c r="K45" s="198"/>
    </row>
    <row r="46" spans="2:11">
      <c r="B46" s="198"/>
      <c r="C46" s="198"/>
      <c r="D46" s="198"/>
      <c r="E46" s="198"/>
      <c r="F46" s="198"/>
      <c r="G46" s="198"/>
      <c r="H46" s="198"/>
      <c r="I46" s="198"/>
      <c r="J46" s="198"/>
      <c r="K46" s="198"/>
    </row>
    <row r="47" spans="2:11">
      <c r="B47" s="198"/>
      <c r="C47" s="198"/>
      <c r="D47" s="198"/>
      <c r="E47" s="198"/>
      <c r="F47" s="198"/>
      <c r="G47" s="198"/>
      <c r="H47" s="198"/>
      <c r="I47" s="198"/>
      <c r="J47" s="198"/>
      <c r="K47" s="198"/>
    </row>
    <row r="48" spans="2:11">
      <c r="B48" s="198"/>
      <c r="C48" s="198"/>
      <c r="D48" s="198"/>
      <c r="E48" s="198"/>
      <c r="F48" s="198"/>
      <c r="G48" s="198"/>
      <c r="H48" s="198"/>
      <c r="I48" s="198"/>
      <c r="J48" s="198"/>
      <c r="K48" s="198"/>
    </row>
    <row r="49" spans="2:11">
      <c r="B49" s="198"/>
      <c r="C49" s="198"/>
      <c r="D49" s="198"/>
      <c r="E49" s="198"/>
      <c r="F49" s="198"/>
      <c r="G49" s="198"/>
      <c r="H49" s="198"/>
      <c r="I49" s="198"/>
      <c r="J49" s="198"/>
      <c r="K49" s="198"/>
    </row>
    <row r="50" spans="2:11">
      <c r="B50" s="198"/>
      <c r="C50" s="198"/>
      <c r="D50" s="198"/>
      <c r="E50" s="198"/>
      <c r="F50" s="198"/>
      <c r="G50" s="198"/>
      <c r="H50" s="198"/>
      <c r="I50" s="198"/>
      <c r="J50" s="198"/>
      <c r="K50" s="198"/>
    </row>
    <row r="51" spans="2:11">
      <c r="B51" s="198"/>
      <c r="C51" s="198"/>
      <c r="D51" s="198"/>
      <c r="E51" s="198"/>
      <c r="F51" s="198"/>
      <c r="G51" s="198"/>
      <c r="H51" s="198"/>
      <c r="I51" s="198"/>
      <c r="J51" s="198"/>
      <c r="K51" s="198"/>
    </row>
    <row r="52" spans="2:11">
      <c r="B52" s="198"/>
      <c r="C52" s="198"/>
      <c r="D52" s="198"/>
      <c r="E52" s="198"/>
      <c r="F52" s="198"/>
      <c r="G52" s="198"/>
      <c r="H52" s="198"/>
      <c r="I52" s="198"/>
      <c r="J52" s="198"/>
      <c r="K52" s="198"/>
    </row>
    <row r="53" spans="2:11">
      <c r="B53" s="198"/>
      <c r="C53" s="198"/>
      <c r="D53" s="198"/>
      <c r="E53" s="198"/>
      <c r="F53" s="198"/>
      <c r="G53" s="198"/>
      <c r="H53" s="198"/>
      <c r="I53" s="198"/>
      <c r="J53" s="198"/>
      <c r="K53" s="198"/>
    </row>
    <row r="54" spans="2:11">
      <c r="B54" s="198"/>
      <c r="C54" s="198"/>
      <c r="D54" s="198"/>
      <c r="E54" s="198"/>
      <c r="F54" s="198"/>
      <c r="G54" s="198"/>
      <c r="H54" s="198"/>
      <c r="I54" s="198"/>
      <c r="J54" s="198"/>
      <c r="K54" s="198"/>
    </row>
    <row r="55" spans="2:11">
      <c r="B55" s="198"/>
      <c r="C55" s="198"/>
      <c r="D55" s="198"/>
      <c r="E55" s="198"/>
      <c r="F55" s="198"/>
      <c r="G55" s="198"/>
      <c r="H55" s="198"/>
      <c r="I55" s="198"/>
      <c r="J55" s="198"/>
      <c r="K55" s="198"/>
    </row>
  </sheetData>
  <mergeCells count="89">
    <mergeCell ref="C26:D26"/>
    <mergeCell ref="G26:H26"/>
    <mergeCell ref="I26:J26"/>
    <mergeCell ref="K26:L26"/>
    <mergeCell ref="C27:D27"/>
    <mergeCell ref="G27:H27"/>
    <mergeCell ref="I27:J27"/>
    <mergeCell ref="K27:L27"/>
    <mergeCell ref="C25:D25"/>
    <mergeCell ref="G25:H25"/>
    <mergeCell ref="I25:J25"/>
    <mergeCell ref="K25:L25"/>
    <mergeCell ref="A19:A27"/>
    <mergeCell ref="C19:D19"/>
    <mergeCell ref="G19:H19"/>
    <mergeCell ref="I19:J19"/>
    <mergeCell ref="K19:L19"/>
    <mergeCell ref="C20:D20"/>
    <mergeCell ref="G20:H20"/>
    <mergeCell ref="I20:J20"/>
    <mergeCell ref="K20:L20"/>
    <mergeCell ref="C21:D21"/>
    <mergeCell ref="G21:H21"/>
    <mergeCell ref="I21:J21"/>
    <mergeCell ref="K21:L21"/>
    <mergeCell ref="C22:D22"/>
    <mergeCell ref="G22:H22"/>
    <mergeCell ref="I22:J22"/>
    <mergeCell ref="K22:L22"/>
    <mergeCell ref="B16:K16"/>
    <mergeCell ref="B17:C17"/>
    <mergeCell ref="D17:E17"/>
    <mergeCell ref="F17:G17"/>
    <mergeCell ref="H17:I17"/>
    <mergeCell ref="B13:C13"/>
    <mergeCell ref="D13:E13"/>
    <mergeCell ref="F13:G13"/>
    <mergeCell ref="H13:I13"/>
    <mergeCell ref="B14:K14"/>
    <mergeCell ref="B15:C15"/>
    <mergeCell ref="D15:E15"/>
    <mergeCell ref="F15:G15"/>
    <mergeCell ref="H15:I15"/>
    <mergeCell ref="B11:C11"/>
    <mergeCell ref="D11:E11"/>
    <mergeCell ref="F11:G11"/>
    <mergeCell ref="H11:I11"/>
    <mergeCell ref="B12:C12"/>
    <mergeCell ref="D12:E12"/>
    <mergeCell ref="F12:G12"/>
    <mergeCell ref="H12:I12"/>
    <mergeCell ref="B9:C9"/>
    <mergeCell ref="D9:E9"/>
    <mergeCell ref="F9:G9"/>
    <mergeCell ref="H9:I9"/>
    <mergeCell ref="B10:C10"/>
    <mergeCell ref="D10:E10"/>
    <mergeCell ref="F10:G10"/>
    <mergeCell ref="H10:I10"/>
    <mergeCell ref="B4:K4"/>
    <mergeCell ref="A5:A13"/>
    <mergeCell ref="B5:C5"/>
    <mergeCell ref="D5:E5"/>
    <mergeCell ref="F5:G5"/>
    <mergeCell ref="H5:I5"/>
    <mergeCell ref="L5:L13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:L1"/>
    <mergeCell ref="A2:A3"/>
    <mergeCell ref="B2:C2"/>
    <mergeCell ref="D2:E2"/>
    <mergeCell ref="F2:G2"/>
    <mergeCell ref="H2:I2"/>
    <mergeCell ref="L2:L3"/>
    <mergeCell ref="B3:C3"/>
    <mergeCell ref="D3:E3"/>
    <mergeCell ref="F3:G3"/>
    <mergeCell ref="H3:I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M27"/>
  <sheetViews>
    <sheetView workbookViewId="0">
      <selection activeCell="P14" sqref="P14"/>
    </sheetView>
  </sheetViews>
  <sheetFormatPr defaultRowHeight="12.75"/>
  <cols>
    <col min="1" max="1" width="3.1640625" customWidth="1"/>
    <col min="2" max="2" width="5.1640625" customWidth="1"/>
    <col min="3" max="3" width="12.83203125" customWidth="1"/>
    <col min="4" max="4" width="5.83203125" customWidth="1"/>
    <col min="5" max="5" width="10.83203125" customWidth="1"/>
    <col min="6" max="6" width="2.83203125" customWidth="1"/>
    <col min="7" max="7" width="12.6640625" customWidth="1"/>
    <col min="8" max="8" width="0.83203125" customWidth="1"/>
    <col min="9" max="9" width="11.83203125" customWidth="1"/>
    <col min="10" max="10" width="4.83203125" customWidth="1"/>
    <col min="11" max="11" width="16.83203125" customWidth="1"/>
    <col min="12" max="12" width="17.83203125" customWidth="1"/>
    <col min="13" max="13" width="7.1640625" customWidth="1"/>
  </cols>
  <sheetData>
    <row r="3" spans="1:13" ht="13.5" customHeight="1">
      <c r="A3" s="67"/>
      <c r="B3" s="68"/>
      <c r="C3" s="57" t="s">
        <v>52</v>
      </c>
      <c r="D3" s="58"/>
      <c r="E3" s="96">
        <v>2.94</v>
      </c>
      <c r="F3" s="58"/>
      <c r="G3" s="49"/>
      <c r="H3" s="47"/>
      <c r="I3" s="47"/>
      <c r="J3" s="47"/>
      <c r="K3" s="47"/>
      <c r="L3" s="47"/>
      <c r="M3" s="48"/>
    </row>
    <row r="4" spans="1:13" ht="13.5" customHeight="1">
      <c r="A4" s="69"/>
      <c r="B4" s="70"/>
      <c r="C4" s="71" t="s">
        <v>53</v>
      </c>
      <c r="D4" s="72"/>
      <c r="E4" s="72"/>
      <c r="F4" s="72"/>
      <c r="G4" s="72"/>
      <c r="H4" s="72"/>
      <c r="I4" s="72"/>
      <c r="J4" s="72"/>
      <c r="K4" s="125"/>
      <c r="L4" s="24"/>
      <c r="M4" s="2"/>
    </row>
    <row r="5" spans="1:13" ht="13.5" customHeight="1">
      <c r="A5" s="69"/>
      <c r="B5" s="70"/>
      <c r="C5" s="71" t="s">
        <v>54</v>
      </c>
      <c r="D5" s="73"/>
      <c r="E5" s="71" t="s">
        <v>55</v>
      </c>
      <c r="F5" s="73"/>
      <c r="G5" s="23" t="s">
        <v>56</v>
      </c>
      <c r="H5" s="59" t="s">
        <v>57</v>
      </c>
      <c r="I5" s="60"/>
      <c r="J5" s="22" t="s">
        <v>58</v>
      </c>
      <c r="K5" s="126" t="s">
        <v>70</v>
      </c>
      <c r="L5" s="107"/>
      <c r="M5" s="105"/>
    </row>
    <row r="6" spans="1:13" ht="13.5" customHeight="1">
      <c r="A6" s="69"/>
      <c r="B6" s="70"/>
      <c r="C6" s="57" t="s">
        <v>59</v>
      </c>
      <c r="D6" s="58"/>
      <c r="E6" s="74">
        <v>500</v>
      </c>
      <c r="F6" s="75"/>
      <c r="G6" s="98">
        <v>0.15</v>
      </c>
      <c r="H6" s="55"/>
      <c r="I6" s="56"/>
      <c r="J6" s="17"/>
      <c r="K6" s="113"/>
      <c r="L6" s="107"/>
      <c r="M6" s="107"/>
    </row>
    <row r="7" spans="1:13" ht="13.5" customHeight="1">
      <c r="A7" s="69"/>
      <c r="B7" s="70"/>
      <c r="C7" s="57" t="s">
        <v>60</v>
      </c>
      <c r="D7" s="58"/>
      <c r="E7" s="74">
        <v>750</v>
      </c>
      <c r="F7" s="75"/>
      <c r="G7" s="98">
        <v>0.15</v>
      </c>
      <c r="H7" s="55"/>
      <c r="I7" s="56"/>
      <c r="J7" s="17"/>
      <c r="K7" s="113"/>
      <c r="L7" s="103"/>
      <c r="M7" s="103"/>
    </row>
    <row r="8" spans="1:13" ht="13.5" customHeight="1">
      <c r="A8" s="69"/>
      <c r="B8" s="70"/>
      <c r="C8" s="57" t="s">
        <v>61</v>
      </c>
      <c r="D8" s="58"/>
      <c r="E8" s="74">
        <v>250</v>
      </c>
      <c r="F8" s="75"/>
      <c r="G8" s="98">
        <v>10</v>
      </c>
      <c r="H8" s="55"/>
      <c r="I8" s="56"/>
      <c r="J8" s="17"/>
      <c r="K8" s="126" t="s">
        <v>70</v>
      </c>
    </row>
    <row r="9" spans="1:13" ht="13.5" customHeight="1">
      <c r="A9" s="69"/>
      <c r="B9" s="70"/>
      <c r="C9" s="57" t="s">
        <v>62</v>
      </c>
      <c r="D9" s="58"/>
      <c r="E9" s="74">
        <v>310</v>
      </c>
      <c r="F9" s="75"/>
      <c r="G9" s="98">
        <v>0.5</v>
      </c>
      <c r="H9" s="55"/>
      <c r="I9" s="56"/>
      <c r="J9" s="17"/>
      <c r="K9" s="113"/>
      <c r="L9" s="106"/>
      <c r="M9" s="106"/>
    </row>
    <row r="10" spans="1:13" ht="13.5" customHeight="1">
      <c r="A10" s="69"/>
      <c r="B10" s="70"/>
      <c r="C10" s="57" t="s">
        <v>63</v>
      </c>
      <c r="D10" s="58"/>
      <c r="E10" s="74">
        <v>500</v>
      </c>
      <c r="F10" s="75"/>
      <c r="G10" s="98">
        <v>0.1</v>
      </c>
      <c r="H10" s="55"/>
      <c r="I10" s="56"/>
      <c r="J10" s="17"/>
      <c r="K10" s="113"/>
      <c r="L10" s="106"/>
      <c r="M10" s="106"/>
    </row>
    <row r="11" spans="1:13" ht="13.5" customHeight="1">
      <c r="A11" s="69"/>
      <c r="B11" s="70"/>
      <c r="C11" s="57" t="s">
        <v>64</v>
      </c>
      <c r="D11" s="58"/>
      <c r="E11" s="76">
        <v>1500</v>
      </c>
      <c r="F11" s="77"/>
      <c r="G11" s="98">
        <v>2.5</v>
      </c>
      <c r="H11" s="55"/>
      <c r="I11" s="56"/>
      <c r="J11" s="17"/>
      <c r="K11" s="113"/>
      <c r="L11" s="108"/>
      <c r="M11" s="108"/>
    </row>
    <row r="12" spans="1:13" ht="13.5" customHeight="1">
      <c r="A12" s="69"/>
      <c r="B12" s="70"/>
      <c r="C12" s="57" t="s">
        <v>65</v>
      </c>
      <c r="D12" s="58"/>
      <c r="E12" s="74">
        <v>190</v>
      </c>
      <c r="F12" s="75"/>
      <c r="G12" s="98">
        <v>6</v>
      </c>
      <c r="H12" s="55"/>
      <c r="I12" s="56"/>
      <c r="J12" s="17"/>
      <c r="K12" s="113"/>
    </row>
    <row r="13" spans="1:13" ht="13.5" customHeight="1">
      <c r="A13" s="1"/>
      <c r="B13" s="24"/>
      <c r="C13" s="99"/>
      <c r="D13" s="99"/>
      <c r="E13" s="100"/>
      <c r="F13" s="100"/>
      <c r="G13" s="101"/>
      <c r="H13" s="102"/>
      <c r="I13" s="12"/>
      <c r="J13" s="12"/>
      <c r="K13" s="12"/>
    </row>
    <row r="14" spans="1:13" ht="13.5" customHeight="1">
      <c r="A14" s="54"/>
      <c r="B14" s="59" t="s">
        <v>66</v>
      </c>
      <c r="C14" s="60"/>
      <c r="D14" s="71" t="s">
        <v>67</v>
      </c>
      <c r="E14" s="73"/>
      <c r="F14" s="71" t="s">
        <v>68</v>
      </c>
      <c r="G14" s="72"/>
      <c r="H14" s="72"/>
      <c r="I14" s="111" t="s">
        <v>69</v>
      </c>
      <c r="J14" s="111"/>
      <c r="K14" s="12"/>
    </row>
    <row r="15" spans="1:13" ht="13.5" customHeight="1">
      <c r="A15" s="54"/>
      <c r="B15" s="84"/>
      <c r="C15" s="82"/>
      <c r="D15" s="114">
        <v>140000</v>
      </c>
      <c r="E15" s="115"/>
      <c r="F15" s="114">
        <v>185000</v>
      </c>
      <c r="G15" s="116"/>
      <c r="H15" s="116"/>
      <c r="I15" s="117">
        <v>204100</v>
      </c>
      <c r="J15" s="117"/>
      <c r="K15" s="12"/>
    </row>
    <row r="16" spans="1:13" ht="12.75" customHeight="1">
      <c r="A16" s="124"/>
      <c r="B16" s="124"/>
      <c r="C16" s="124"/>
      <c r="D16" s="124"/>
      <c r="E16" s="124"/>
      <c r="F16" s="124"/>
      <c r="G16" s="124"/>
      <c r="H16" s="124"/>
      <c r="I16" s="124"/>
      <c r="J16" s="124"/>
      <c r="K16" s="106"/>
    </row>
    <row r="17" spans="1:11" ht="13.5" customHeight="1">
      <c r="A17" s="44"/>
      <c r="B17" s="118" t="s">
        <v>71</v>
      </c>
      <c r="C17" s="119"/>
      <c r="D17" s="120" t="s">
        <v>67</v>
      </c>
      <c r="E17" s="121"/>
      <c r="F17" s="120" t="s">
        <v>68</v>
      </c>
      <c r="G17" s="122"/>
      <c r="H17" s="122"/>
      <c r="I17" s="123" t="s">
        <v>69</v>
      </c>
      <c r="J17" s="123"/>
      <c r="K17" s="21"/>
    </row>
    <row r="18" spans="1:11" ht="13.5" customHeight="1">
      <c r="A18" s="44"/>
      <c r="B18" s="57" t="s">
        <v>72</v>
      </c>
      <c r="C18" s="58"/>
      <c r="D18" s="78">
        <v>20000</v>
      </c>
      <c r="E18" s="79"/>
      <c r="F18" s="78">
        <v>26000</v>
      </c>
      <c r="G18" s="80"/>
      <c r="H18" s="80"/>
      <c r="I18" s="112">
        <v>33800</v>
      </c>
      <c r="J18" s="112"/>
      <c r="K18" s="12"/>
    </row>
    <row r="19" spans="1:11" ht="13.5" customHeight="1">
      <c r="A19" s="44"/>
      <c r="B19" s="57" t="s">
        <v>73</v>
      </c>
      <c r="C19" s="58"/>
      <c r="D19" s="78">
        <v>20000</v>
      </c>
      <c r="E19" s="79"/>
      <c r="F19" s="78">
        <v>15600</v>
      </c>
      <c r="G19" s="80"/>
      <c r="H19" s="80"/>
      <c r="I19" s="112">
        <v>20280</v>
      </c>
      <c r="J19" s="112"/>
    </row>
    <row r="20" spans="1:11" ht="13.5" customHeight="1">
      <c r="A20" s="44"/>
      <c r="B20" s="57" t="s">
        <v>74</v>
      </c>
      <c r="C20" s="58"/>
      <c r="D20" s="78">
        <v>12000</v>
      </c>
      <c r="E20" s="79"/>
      <c r="F20" s="78">
        <v>20930</v>
      </c>
      <c r="G20" s="80"/>
      <c r="H20" s="80"/>
      <c r="I20" s="112">
        <v>27209</v>
      </c>
      <c r="J20" s="112"/>
    </row>
    <row r="21" spans="1:11" ht="13.5" customHeight="1">
      <c r="A21" s="44"/>
      <c r="B21" s="57" t="s">
        <v>75</v>
      </c>
      <c r="C21" s="58"/>
      <c r="D21" s="78">
        <v>16100</v>
      </c>
      <c r="E21" s="79"/>
      <c r="F21" s="78">
        <v>28870</v>
      </c>
      <c r="G21" s="80"/>
      <c r="H21" s="80"/>
      <c r="I21" s="112">
        <v>33631</v>
      </c>
      <c r="J21" s="112"/>
    </row>
    <row r="22" spans="1:11" ht="13.5" customHeight="1">
      <c r="A22" s="44"/>
      <c r="B22" s="57" t="s">
        <v>76</v>
      </c>
      <c r="C22" s="58"/>
      <c r="D22" s="78">
        <v>19900</v>
      </c>
      <c r="E22" s="79"/>
      <c r="F22" s="78">
        <v>39000</v>
      </c>
      <c r="G22" s="80"/>
      <c r="H22" s="80"/>
      <c r="I22" s="112">
        <v>50700</v>
      </c>
      <c r="J22" s="112"/>
    </row>
    <row r="23" spans="1:11" ht="13.5" customHeight="1">
      <c r="A23" s="44"/>
      <c r="B23" s="57" t="s">
        <v>77</v>
      </c>
      <c r="C23" s="58"/>
      <c r="D23" s="78">
        <v>25000</v>
      </c>
      <c r="E23" s="79"/>
      <c r="F23" s="78">
        <v>32500</v>
      </c>
      <c r="G23" s="80"/>
      <c r="H23" s="80"/>
      <c r="I23" s="112">
        <v>42250</v>
      </c>
      <c r="J23" s="112"/>
    </row>
    <row r="24" spans="1:11" ht="12.75" customHeight="1">
      <c r="A24" s="3"/>
      <c r="B24" s="19"/>
      <c r="C24" s="20"/>
      <c r="D24" s="32"/>
      <c r="E24" s="33"/>
      <c r="F24" s="32"/>
      <c r="G24" s="34"/>
      <c r="H24" s="33"/>
      <c r="I24" s="109"/>
      <c r="J24" s="110"/>
    </row>
    <row r="25" spans="1:11" ht="13.5" customHeight="1">
      <c r="A25" s="54"/>
      <c r="B25" s="57" t="s">
        <v>78</v>
      </c>
      <c r="C25" s="58"/>
      <c r="D25" s="55"/>
      <c r="E25" s="56"/>
      <c r="F25" s="55"/>
      <c r="G25" s="46"/>
      <c r="H25" s="56"/>
      <c r="I25" s="55"/>
      <c r="J25" s="56"/>
    </row>
    <row r="26" spans="1:11" ht="13.5" customHeight="1">
      <c r="A26" s="54"/>
      <c r="B26" s="57" t="s">
        <v>79</v>
      </c>
      <c r="C26" s="58"/>
      <c r="D26" s="55"/>
      <c r="E26" s="56"/>
      <c r="F26" s="55"/>
      <c r="G26" s="46"/>
      <c r="H26" s="56"/>
      <c r="I26" s="55"/>
      <c r="J26" s="56"/>
    </row>
    <row r="27" spans="1:11" ht="13.5" customHeight="1">
      <c r="A27" s="10"/>
      <c r="B27" s="81"/>
      <c r="C27" s="81"/>
      <c r="D27" s="81"/>
      <c r="E27" s="82"/>
      <c r="F27" s="57" t="s">
        <v>80</v>
      </c>
      <c r="G27" s="83"/>
      <c r="H27" s="83"/>
      <c r="I27" s="83"/>
      <c r="J27" s="83"/>
    </row>
  </sheetData>
  <mergeCells count="79">
    <mergeCell ref="B27:E27"/>
    <mergeCell ref="F27:J27"/>
    <mergeCell ref="B23:C23"/>
    <mergeCell ref="D23:E23"/>
    <mergeCell ref="F23:H23"/>
    <mergeCell ref="I23:J23"/>
    <mergeCell ref="A25:A26"/>
    <mergeCell ref="B25:C25"/>
    <mergeCell ref="D25:E25"/>
    <mergeCell ref="F25:H25"/>
    <mergeCell ref="I25:J25"/>
    <mergeCell ref="B26:C26"/>
    <mergeCell ref="D26:E26"/>
    <mergeCell ref="F26:H26"/>
    <mergeCell ref="I26:J26"/>
    <mergeCell ref="B21:C21"/>
    <mergeCell ref="D21:E21"/>
    <mergeCell ref="F21:H21"/>
    <mergeCell ref="I21:J21"/>
    <mergeCell ref="B22:C22"/>
    <mergeCell ref="D22:E22"/>
    <mergeCell ref="F22:H22"/>
    <mergeCell ref="I22:J22"/>
    <mergeCell ref="A17:A23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A14:A15"/>
    <mergeCell ref="B14:C14"/>
    <mergeCell ref="D14:E14"/>
    <mergeCell ref="F14:H14"/>
    <mergeCell ref="I14:J14"/>
    <mergeCell ref="B15:C15"/>
    <mergeCell ref="D15:E15"/>
    <mergeCell ref="F15:H15"/>
    <mergeCell ref="I15:J15"/>
    <mergeCell ref="C11:D11"/>
    <mergeCell ref="E11:F11"/>
    <mergeCell ref="H11:I11"/>
    <mergeCell ref="C12:D12"/>
    <mergeCell ref="E12:F12"/>
    <mergeCell ref="H12:I12"/>
    <mergeCell ref="C9:D9"/>
    <mergeCell ref="E9:F9"/>
    <mergeCell ref="H9:I9"/>
    <mergeCell ref="C10:D10"/>
    <mergeCell ref="E10:F10"/>
    <mergeCell ref="H10:I10"/>
    <mergeCell ref="A3:B3"/>
    <mergeCell ref="C3:D3"/>
    <mergeCell ref="E3:F3"/>
    <mergeCell ref="G3:M3"/>
    <mergeCell ref="A4:B12"/>
    <mergeCell ref="C4:J4"/>
    <mergeCell ref="C5:D5"/>
    <mergeCell ref="E5:F5"/>
    <mergeCell ref="H5:I5"/>
    <mergeCell ref="C6:D6"/>
    <mergeCell ref="E6:F6"/>
    <mergeCell ref="H6:I6"/>
    <mergeCell ref="C7:D7"/>
    <mergeCell ref="E7:F7"/>
    <mergeCell ref="H7:I7"/>
    <mergeCell ref="C8:D8"/>
    <mergeCell ref="E8:F8"/>
    <mergeCell ref="H8:I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6"/>
  <sheetViews>
    <sheetView workbookViewId="0">
      <selection activeCell="S23" sqref="S23"/>
    </sheetView>
  </sheetViews>
  <sheetFormatPr defaultRowHeight="12.75"/>
  <cols>
    <col min="1" max="1" width="3.1640625" customWidth="1"/>
    <col min="2" max="2" width="16.1640625" customWidth="1"/>
    <col min="3" max="3" width="6.83203125" customWidth="1"/>
    <col min="4" max="4" width="16.1640625" customWidth="1"/>
    <col min="5" max="5" width="11.1640625" customWidth="1"/>
    <col min="6" max="6" width="5.33203125" customWidth="1"/>
    <col min="7" max="7" width="16.1640625" customWidth="1"/>
    <col min="8" max="8" width="5.1640625" customWidth="1"/>
    <col min="9" max="9" width="16" customWidth="1"/>
    <col min="10" max="10" width="11.5" customWidth="1"/>
    <col min="11" max="11" width="7.1640625" customWidth="1"/>
  </cols>
  <sheetData>
    <row r="1" spans="1:12">
      <c r="B1" s="129"/>
      <c r="C1" s="129"/>
      <c r="D1" s="129"/>
      <c r="E1" s="129"/>
      <c r="F1" s="129"/>
      <c r="G1" s="129"/>
      <c r="H1" s="129"/>
      <c r="I1" s="129"/>
      <c r="J1" s="129"/>
    </row>
    <row r="2" spans="1:12" ht="13.5" customHeight="1">
      <c r="A2" s="146"/>
      <c r="B2" s="151" t="s">
        <v>203</v>
      </c>
      <c r="C2" s="151"/>
      <c r="D2" s="152" t="s">
        <v>204</v>
      </c>
      <c r="E2" s="151" t="s">
        <v>205</v>
      </c>
      <c r="F2" s="151"/>
      <c r="G2" s="152" t="s">
        <v>206</v>
      </c>
      <c r="H2" s="131"/>
      <c r="I2" s="131"/>
      <c r="J2" s="131"/>
      <c r="K2" s="132"/>
    </row>
    <row r="3" spans="1:12" ht="13.5" customHeight="1">
      <c r="A3" s="146"/>
      <c r="B3" s="145" t="s">
        <v>82</v>
      </c>
      <c r="C3" s="145"/>
      <c r="D3" s="148" t="s">
        <v>83</v>
      </c>
      <c r="E3" s="145" t="s">
        <v>84</v>
      </c>
      <c r="F3" s="145"/>
      <c r="G3" s="149" t="s">
        <v>85</v>
      </c>
      <c r="H3" s="133"/>
      <c r="I3" s="131"/>
      <c r="J3" s="131"/>
      <c r="K3" s="134"/>
    </row>
    <row r="4" spans="1:12" ht="13.5" customHeight="1">
      <c r="A4" s="146"/>
      <c r="B4" s="145" t="s">
        <v>86</v>
      </c>
      <c r="C4" s="145"/>
      <c r="D4" s="148" t="s">
        <v>87</v>
      </c>
      <c r="E4" s="150"/>
      <c r="F4" s="150"/>
      <c r="G4" s="113"/>
      <c r="H4" s="107"/>
      <c r="I4" s="142" t="s">
        <v>88</v>
      </c>
      <c r="J4" s="143">
        <v>0.4</v>
      </c>
      <c r="K4" s="105"/>
    </row>
    <row r="5" spans="1:12" ht="13.5" customHeight="1">
      <c r="A5" s="146"/>
      <c r="B5" s="145" t="s">
        <v>89</v>
      </c>
      <c r="C5" s="145"/>
      <c r="D5" s="148" t="s">
        <v>90</v>
      </c>
      <c r="E5" s="150"/>
      <c r="F5" s="150"/>
      <c r="G5" s="113"/>
      <c r="H5" s="107"/>
      <c r="I5" s="142" t="s">
        <v>91</v>
      </c>
      <c r="J5" s="143">
        <v>0.3</v>
      </c>
      <c r="K5" s="105"/>
    </row>
    <row r="6" spans="1:12" ht="13.5" customHeight="1">
      <c r="A6" s="146"/>
      <c r="B6" s="145" t="s">
        <v>92</v>
      </c>
      <c r="C6" s="145"/>
      <c r="D6" s="148" t="s">
        <v>93</v>
      </c>
      <c r="E6" s="150"/>
      <c r="F6" s="150"/>
      <c r="G6" s="113"/>
      <c r="H6" s="107"/>
      <c r="I6" s="103"/>
      <c r="J6" s="103"/>
      <c r="K6" s="104"/>
      <c r="L6" s="129"/>
    </row>
    <row r="7" spans="1:12" ht="13.5" customHeight="1">
      <c r="A7" s="146"/>
      <c r="B7" s="145" t="s">
        <v>94</v>
      </c>
      <c r="C7" s="145"/>
      <c r="D7" s="148" t="s">
        <v>95</v>
      </c>
      <c r="E7" s="150"/>
      <c r="F7" s="150"/>
      <c r="G7" s="113"/>
      <c r="H7" s="129"/>
      <c r="I7" s="129"/>
      <c r="J7" s="129"/>
      <c r="K7" s="130"/>
    </row>
    <row r="8" spans="1:12" ht="13.5" customHeight="1">
      <c r="A8" s="146"/>
      <c r="B8" s="145" t="s">
        <v>96</v>
      </c>
      <c r="C8" s="145"/>
      <c r="D8" s="148" t="s">
        <v>97</v>
      </c>
      <c r="E8" s="150"/>
      <c r="F8" s="150"/>
      <c r="G8" s="113"/>
      <c r="H8" s="129"/>
      <c r="I8" s="129"/>
      <c r="J8" s="129"/>
      <c r="K8" s="130"/>
    </row>
    <row r="9" spans="1:12" ht="13.5" customHeight="1">
      <c r="A9" s="146"/>
      <c r="B9" s="145" t="s">
        <v>98</v>
      </c>
      <c r="C9" s="145"/>
      <c r="D9" s="148" t="s">
        <v>99</v>
      </c>
      <c r="E9" s="150"/>
      <c r="F9" s="150"/>
      <c r="G9" s="113"/>
      <c r="H9" s="129"/>
      <c r="I9" s="129"/>
      <c r="J9" s="129"/>
      <c r="K9" s="130"/>
    </row>
    <row r="10" spans="1:12" ht="13.5" customHeight="1">
      <c r="A10" s="146"/>
      <c r="B10" s="145" t="s">
        <v>100</v>
      </c>
      <c r="C10" s="145"/>
      <c r="D10" s="148" t="s">
        <v>101</v>
      </c>
      <c r="E10" s="150"/>
      <c r="F10" s="150"/>
      <c r="G10" s="113"/>
      <c r="H10" s="129"/>
      <c r="I10" s="129"/>
      <c r="J10" s="129"/>
      <c r="K10" s="130"/>
    </row>
    <row r="11" spans="1:12" ht="13.5" customHeight="1">
      <c r="A11" s="146"/>
      <c r="B11" s="147"/>
      <c r="C11" s="147"/>
      <c r="D11" s="94"/>
      <c r="E11" s="103"/>
      <c r="F11" s="103"/>
      <c r="G11" s="12"/>
      <c r="H11" s="129"/>
      <c r="I11" s="129"/>
      <c r="J11" s="129"/>
      <c r="K11" s="130"/>
    </row>
    <row r="12" spans="1:12" ht="13.5" customHeight="1">
      <c r="A12" s="146"/>
      <c r="B12" s="147"/>
      <c r="C12" s="147"/>
      <c r="D12" s="94"/>
      <c r="E12" s="103"/>
      <c r="F12" s="103"/>
      <c r="G12" s="12"/>
      <c r="H12" s="129"/>
      <c r="I12" s="129"/>
      <c r="J12" s="129"/>
      <c r="K12" s="130"/>
    </row>
    <row r="13" spans="1:12" ht="13.5" customHeight="1">
      <c r="A13" s="146"/>
      <c r="B13" s="147"/>
      <c r="C13" s="147"/>
      <c r="D13" s="94"/>
      <c r="E13" s="103"/>
      <c r="F13" s="103"/>
      <c r="G13" s="12"/>
      <c r="H13" s="129"/>
      <c r="I13" s="129"/>
      <c r="J13" s="129"/>
      <c r="K13" s="130"/>
    </row>
    <row r="14" spans="1:12" ht="13.5" customHeight="1">
      <c r="A14" s="146"/>
      <c r="B14" s="147"/>
      <c r="C14" s="147"/>
      <c r="D14" s="94"/>
      <c r="E14" s="103"/>
      <c r="F14" s="103"/>
      <c r="G14" s="12"/>
      <c r="H14" s="129"/>
      <c r="I14" s="129"/>
      <c r="J14" s="129"/>
      <c r="K14" s="130"/>
    </row>
    <row r="15" spans="1:12" ht="13.5" customHeight="1">
      <c r="A15" s="146"/>
      <c r="B15" s="144" t="s">
        <v>102</v>
      </c>
      <c r="C15" s="144" t="s">
        <v>103</v>
      </c>
      <c r="D15" s="144"/>
      <c r="E15" s="144"/>
      <c r="F15" s="144" t="s">
        <v>104</v>
      </c>
      <c r="G15" s="144"/>
      <c r="H15" s="144" t="s">
        <v>105</v>
      </c>
      <c r="I15" s="144"/>
      <c r="J15" s="144" t="s">
        <v>106</v>
      </c>
      <c r="K15" s="127"/>
      <c r="L15" s="129"/>
    </row>
    <row r="16" spans="1:12" ht="13.5" customHeight="1">
      <c r="A16" s="146"/>
      <c r="B16" s="142" t="s">
        <v>107</v>
      </c>
      <c r="C16" s="145" t="s">
        <v>108</v>
      </c>
      <c r="D16" s="145"/>
      <c r="E16" s="145"/>
      <c r="F16" s="145" t="s">
        <v>109</v>
      </c>
      <c r="G16" s="145"/>
      <c r="H16" s="145" t="s">
        <v>110</v>
      </c>
      <c r="I16" s="145"/>
      <c r="J16" s="145" t="s">
        <v>111</v>
      </c>
      <c r="K16" s="127"/>
    </row>
    <row r="17" spans="1:12" ht="13.5" customHeight="1">
      <c r="A17" s="146"/>
      <c r="B17" s="142" t="s">
        <v>45</v>
      </c>
      <c r="C17" s="145" t="s">
        <v>112</v>
      </c>
      <c r="D17" s="145"/>
      <c r="E17" s="145"/>
      <c r="F17" s="145" t="s">
        <v>113</v>
      </c>
      <c r="G17" s="145"/>
      <c r="H17" s="145" t="s">
        <v>114</v>
      </c>
      <c r="I17" s="145"/>
      <c r="J17" s="145" t="s">
        <v>111</v>
      </c>
      <c r="K17" s="127"/>
    </row>
    <row r="18" spans="1:12" ht="13.5" customHeight="1">
      <c r="A18" s="146"/>
      <c r="B18" s="142" t="s">
        <v>115</v>
      </c>
      <c r="C18" s="145" t="s">
        <v>116</v>
      </c>
      <c r="D18" s="145"/>
      <c r="E18" s="145"/>
      <c r="F18" s="145" t="s">
        <v>109</v>
      </c>
      <c r="G18" s="145"/>
      <c r="H18" s="145" t="s">
        <v>117</v>
      </c>
      <c r="I18" s="145"/>
      <c r="J18" s="145" t="s">
        <v>118</v>
      </c>
      <c r="K18" s="127"/>
    </row>
    <row r="19" spans="1:12" ht="13.5" customHeight="1">
      <c r="A19" s="146"/>
      <c r="B19" s="142" t="s">
        <v>119</v>
      </c>
      <c r="C19" s="145" t="s">
        <v>120</v>
      </c>
      <c r="D19" s="145"/>
      <c r="E19" s="145"/>
      <c r="F19" s="145" t="s">
        <v>121</v>
      </c>
      <c r="G19" s="145"/>
      <c r="H19" s="145" t="s">
        <v>122</v>
      </c>
      <c r="I19" s="145"/>
      <c r="J19" s="145" t="s">
        <v>111</v>
      </c>
      <c r="K19" s="127"/>
    </row>
    <row r="20" spans="1:12" ht="13.5" customHeight="1">
      <c r="A20" s="146"/>
      <c r="B20" s="142" t="s">
        <v>48</v>
      </c>
      <c r="C20" s="145" t="s">
        <v>123</v>
      </c>
      <c r="D20" s="145"/>
      <c r="E20" s="145"/>
      <c r="F20" s="145" t="s">
        <v>124</v>
      </c>
      <c r="G20" s="145"/>
      <c r="H20" s="145" t="s">
        <v>125</v>
      </c>
      <c r="I20" s="145"/>
      <c r="J20" s="145" t="s">
        <v>111</v>
      </c>
      <c r="K20" s="127"/>
    </row>
    <row r="21" spans="1:12" ht="13.5" customHeight="1">
      <c r="A21" s="146"/>
      <c r="B21" s="142" t="s">
        <v>47</v>
      </c>
      <c r="C21" s="145" t="s">
        <v>126</v>
      </c>
      <c r="D21" s="145"/>
      <c r="E21" s="145"/>
      <c r="F21" s="145" t="s">
        <v>109</v>
      </c>
      <c r="G21" s="145"/>
      <c r="H21" s="145" t="s">
        <v>127</v>
      </c>
      <c r="I21" s="145"/>
      <c r="J21" s="145" t="s">
        <v>128</v>
      </c>
      <c r="K21" s="127"/>
    </row>
    <row r="22" spans="1:12" ht="13.5" customHeight="1">
      <c r="A22" s="146"/>
      <c r="B22" s="142" t="s">
        <v>129</v>
      </c>
      <c r="C22" s="145" t="s">
        <v>130</v>
      </c>
      <c r="D22" s="145"/>
      <c r="E22" s="145"/>
      <c r="F22" s="145" t="s">
        <v>131</v>
      </c>
      <c r="G22" s="145"/>
      <c r="H22" s="145" t="s">
        <v>132</v>
      </c>
      <c r="I22" s="145"/>
      <c r="J22" s="145" t="s">
        <v>111</v>
      </c>
      <c r="K22" s="127"/>
    </row>
    <row r="23" spans="1:12" ht="13.5" customHeight="1">
      <c r="A23" s="146"/>
      <c r="B23" s="142" t="s">
        <v>133</v>
      </c>
      <c r="C23" s="145" t="s">
        <v>134</v>
      </c>
      <c r="D23" s="145"/>
      <c r="E23" s="145"/>
      <c r="F23" s="145" t="s">
        <v>135</v>
      </c>
      <c r="G23" s="145"/>
      <c r="H23" s="145" t="s">
        <v>136</v>
      </c>
      <c r="I23" s="145"/>
      <c r="J23" s="145" t="s">
        <v>111</v>
      </c>
      <c r="K23" s="127"/>
    </row>
    <row r="24" spans="1:12" ht="13.5" customHeight="1">
      <c r="A24" s="146"/>
      <c r="B24" s="142" t="s">
        <v>137</v>
      </c>
      <c r="C24" s="145" t="s">
        <v>138</v>
      </c>
      <c r="D24" s="145"/>
      <c r="E24" s="145"/>
      <c r="F24" s="145" t="s">
        <v>139</v>
      </c>
      <c r="G24" s="145"/>
      <c r="H24" s="145" t="s">
        <v>140</v>
      </c>
      <c r="I24" s="145"/>
      <c r="J24" s="145" t="s">
        <v>141</v>
      </c>
      <c r="K24" s="127"/>
    </row>
    <row r="25" spans="1:12" ht="13.5" customHeight="1">
      <c r="A25" s="146"/>
      <c r="B25" s="142" t="s">
        <v>46</v>
      </c>
      <c r="C25" s="145" t="s">
        <v>142</v>
      </c>
      <c r="D25" s="145"/>
      <c r="E25" s="145"/>
      <c r="F25" s="145" t="s">
        <v>143</v>
      </c>
      <c r="G25" s="145"/>
      <c r="H25" s="145" t="s">
        <v>144</v>
      </c>
      <c r="I25" s="145"/>
      <c r="J25" s="145" t="s">
        <v>145</v>
      </c>
      <c r="K25" s="127"/>
    </row>
    <row r="26" spans="1:12" ht="12.75" customHeight="1">
      <c r="A26" s="146"/>
      <c r="B26" s="142"/>
      <c r="C26" s="142"/>
      <c r="D26" s="142"/>
      <c r="E26" s="142"/>
      <c r="F26" s="142"/>
      <c r="G26" s="142"/>
      <c r="H26" s="142"/>
      <c r="I26" s="142"/>
      <c r="J26" s="145"/>
      <c r="K26" s="127"/>
    </row>
    <row r="27" spans="1:12" ht="13.5" customHeight="1">
      <c r="A27" s="146"/>
      <c r="B27" s="142" t="s">
        <v>146</v>
      </c>
      <c r="C27" s="145" t="s">
        <v>147</v>
      </c>
      <c r="D27" s="145"/>
      <c r="E27" s="145"/>
      <c r="F27" s="145" t="s">
        <v>109</v>
      </c>
      <c r="G27" s="145"/>
      <c r="H27" s="145" t="s">
        <v>148</v>
      </c>
      <c r="I27" s="145"/>
      <c r="J27" s="145" t="s">
        <v>149</v>
      </c>
      <c r="K27" s="127"/>
    </row>
    <row r="28" spans="1:12" ht="13.5" customHeight="1">
      <c r="A28" s="146"/>
      <c r="B28" s="142" t="s">
        <v>150</v>
      </c>
      <c r="C28" s="145" t="s">
        <v>151</v>
      </c>
      <c r="D28" s="145"/>
      <c r="E28" s="145"/>
      <c r="F28" s="145" t="s">
        <v>152</v>
      </c>
      <c r="G28" s="145"/>
      <c r="H28" s="145" t="s">
        <v>153</v>
      </c>
      <c r="I28" s="145"/>
      <c r="J28" s="145" t="s">
        <v>154</v>
      </c>
      <c r="K28" s="127"/>
    </row>
    <row r="29" spans="1:12" ht="13.5" customHeight="1">
      <c r="A29" s="146"/>
      <c r="B29" s="142" t="s">
        <v>155</v>
      </c>
      <c r="C29" s="145" t="s">
        <v>156</v>
      </c>
      <c r="D29" s="145"/>
      <c r="E29" s="145"/>
      <c r="F29" s="145" t="s">
        <v>157</v>
      </c>
      <c r="G29" s="145"/>
      <c r="H29" s="145" t="s">
        <v>158</v>
      </c>
      <c r="I29" s="145"/>
      <c r="J29" s="145" t="s">
        <v>159</v>
      </c>
      <c r="K29" s="127"/>
    </row>
    <row r="30" spans="1:12" ht="22.7" customHeight="1">
      <c r="A30" s="31"/>
      <c r="B30" s="107"/>
      <c r="C30" s="107"/>
      <c r="D30" s="107"/>
      <c r="E30" s="107"/>
      <c r="F30" s="107"/>
      <c r="G30" s="107"/>
      <c r="H30" s="107"/>
      <c r="I30" s="107"/>
      <c r="J30" s="107"/>
      <c r="K30" s="105"/>
      <c r="L30" s="129"/>
    </row>
    <row r="31" spans="1:12" ht="13.5" customHeight="1">
      <c r="A31" s="141"/>
      <c r="B31" s="8" t="s">
        <v>81</v>
      </c>
      <c r="C31" s="135" t="s">
        <v>160</v>
      </c>
      <c r="D31" s="136"/>
      <c r="E31" s="137"/>
      <c r="F31" s="128"/>
      <c r="G31" s="129"/>
      <c r="H31" s="129"/>
      <c r="I31" s="129"/>
      <c r="J31" s="129"/>
      <c r="K31" s="130"/>
    </row>
    <row r="32" spans="1:12" ht="13.5" customHeight="1">
      <c r="A32" s="141"/>
      <c r="B32" s="8" t="s">
        <v>161</v>
      </c>
      <c r="C32" s="138" t="s">
        <v>162</v>
      </c>
      <c r="D32" s="139"/>
      <c r="E32" s="140"/>
      <c r="F32" s="128"/>
      <c r="G32" s="129"/>
      <c r="H32" s="129"/>
      <c r="I32" s="129"/>
      <c r="J32" s="129"/>
      <c r="K32" s="130"/>
    </row>
    <row r="33" spans="1:11" ht="13.5" customHeight="1">
      <c r="A33" s="141"/>
      <c r="B33" s="8" t="s">
        <v>163</v>
      </c>
      <c r="C33" s="138" t="s">
        <v>164</v>
      </c>
      <c r="D33" s="139"/>
      <c r="E33" s="140"/>
      <c r="F33" s="128"/>
      <c r="G33" s="129"/>
      <c r="H33" s="129"/>
      <c r="I33" s="129"/>
      <c r="J33" s="129"/>
      <c r="K33" s="130"/>
    </row>
    <row r="34" spans="1:11" ht="13.5" customHeight="1">
      <c r="A34" s="141"/>
      <c r="B34" s="8" t="s">
        <v>165</v>
      </c>
      <c r="C34" s="138" t="s">
        <v>166</v>
      </c>
      <c r="D34" s="139"/>
      <c r="E34" s="140"/>
      <c r="F34" s="128"/>
      <c r="G34" s="129"/>
      <c r="H34" s="129"/>
      <c r="I34" s="129"/>
      <c r="J34" s="129"/>
      <c r="K34" s="130"/>
    </row>
    <row r="35" spans="1:11" ht="13.5" customHeight="1">
      <c r="A35" s="141"/>
      <c r="B35" s="8" t="s">
        <v>167</v>
      </c>
      <c r="C35" s="138" t="s">
        <v>168</v>
      </c>
      <c r="D35" s="139"/>
      <c r="E35" s="140"/>
      <c r="F35" s="128"/>
      <c r="G35" s="129"/>
      <c r="H35" s="129"/>
      <c r="I35" s="129"/>
      <c r="J35" s="129"/>
      <c r="K35" s="130"/>
    </row>
    <row r="36" spans="1:1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21"/>
  <sheetViews>
    <sheetView workbookViewId="0">
      <selection activeCell="A2" sqref="A2:I14"/>
    </sheetView>
  </sheetViews>
  <sheetFormatPr defaultRowHeight="12.75"/>
  <cols>
    <col min="1" max="1" width="3.1640625" customWidth="1"/>
    <col min="2" max="2" width="6.5" customWidth="1"/>
    <col min="3" max="3" width="19.5" customWidth="1"/>
    <col min="4" max="4" width="18.1640625" customWidth="1"/>
    <col min="5" max="5" width="16.83203125" customWidth="1"/>
    <col min="6" max="6" width="17.1640625" customWidth="1"/>
    <col min="7" max="7" width="24.6640625" customWidth="1"/>
    <col min="8" max="8" width="16.6640625" customWidth="1"/>
    <col min="9" max="9" width="7.1640625" customWidth="1"/>
  </cols>
  <sheetData>
    <row r="2" spans="1:9" ht="15" customHeight="1">
      <c r="A2" s="154"/>
      <c r="B2" s="155"/>
      <c r="C2" s="156" t="s">
        <v>169</v>
      </c>
      <c r="D2" s="156" t="s">
        <v>170</v>
      </c>
      <c r="E2" s="156" t="s">
        <v>171</v>
      </c>
      <c r="F2" s="156" t="s">
        <v>172</v>
      </c>
      <c r="G2" s="156" t="s">
        <v>173</v>
      </c>
      <c r="H2" s="157"/>
      <c r="I2" s="158"/>
    </row>
    <row r="3" spans="1:9" ht="15" customHeight="1">
      <c r="A3" s="159"/>
      <c r="B3" s="36">
        <v>1</v>
      </c>
      <c r="C3" s="160" t="s">
        <v>174</v>
      </c>
      <c r="D3" s="161"/>
      <c r="E3" s="161"/>
      <c r="F3" s="161"/>
      <c r="G3" s="161"/>
      <c r="H3" s="129"/>
      <c r="I3" s="130"/>
    </row>
    <row r="4" spans="1:9" ht="15" customHeight="1">
      <c r="A4" s="159"/>
      <c r="B4" s="36">
        <v>2</v>
      </c>
      <c r="C4" s="162"/>
      <c r="D4" s="163"/>
      <c r="E4" s="163"/>
      <c r="F4" s="163"/>
      <c r="G4" s="163"/>
      <c r="H4" s="129"/>
      <c r="I4" s="130"/>
    </row>
    <row r="5" spans="1:9" ht="15" customHeight="1">
      <c r="A5" s="159"/>
      <c r="B5" s="36">
        <v>3</v>
      </c>
      <c r="C5" s="160" t="s">
        <v>175</v>
      </c>
      <c r="D5" s="161"/>
      <c r="E5" s="161"/>
      <c r="F5" s="161"/>
      <c r="G5" s="161"/>
      <c r="H5" s="129"/>
      <c r="I5" s="130"/>
    </row>
    <row r="6" spans="1:9" ht="15" customHeight="1">
      <c r="A6" s="159"/>
      <c r="B6" s="36">
        <v>4</v>
      </c>
      <c r="C6" s="164"/>
      <c r="D6" s="165"/>
      <c r="E6" s="165"/>
      <c r="F6" s="165"/>
      <c r="G6" s="165"/>
      <c r="H6" s="129"/>
      <c r="I6" s="130"/>
    </row>
    <row r="7" spans="1:9" ht="15" customHeight="1">
      <c r="A7" s="159"/>
      <c r="B7" s="36">
        <v>5</v>
      </c>
      <c r="C7" s="166" t="s">
        <v>176</v>
      </c>
      <c r="D7" s="167"/>
      <c r="E7" s="167"/>
      <c r="F7" s="167"/>
      <c r="G7" s="167"/>
      <c r="H7" s="167"/>
      <c r="I7" s="168"/>
    </row>
    <row r="8" spans="1:9" ht="15" customHeight="1">
      <c r="A8" s="159"/>
      <c r="B8" s="36">
        <v>6</v>
      </c>
      <c r="C8" s="169"/>
      <c r="D8" s="170"/>
      <c r="E8" s="170"/>
      <c r="F8" s="170"/>
      <c r="G8" s="170"/>
      <c r="H8" s="170"/>
      <c r="I8" s="171"/>
    </row>
    <row r="9" spans="1:9" ht="15" customHeight="1">
      <c r="A9" s="159"/>
      <c r="B9" s="36">
        <v>7</v>
      </c>
      <c r="C9" s="172"/>
      <c r="D9" s="173" t="s">
        <v>177</v>
      </c>
      <c r="E9" s="174"/>
      <c r="F9" s="174"/>
      <c r="G9" s="175"/>
      <c r="H9" s="128"/>
      <c r="I9" s="130"/>
    </row>
    <row r="10" spans="1:9" ht="15" customHeight="1">
      <c r="A10" s="159"/>
      <c r="B10" s="36">
        <v>8</v>
      </c>
      <c r="C10" s="176" t="s">
        <v>207</v>
      </c>
      <c r="D10" s="177"/>
      <c r="E10" s="177"/>
      <c r="F10" s="177"/>
      <c r="G10" s="178"/>
      <c r="H10" s="128"/>
      <c r="I10" s="130"/>
    </row>
    <row r="11" spans="1:9" ht="15" customHeight="1">
      <c r="A11" s="159"/>
      <c r="B11" s="36">
        <v>9</v>
      </c>
      <c r="C11" s="166"/>
      <c r="D11" s="167"/>
      <c r="E11" s="167"/>
      <c r="F11" s="167"/>
      <c r="G11" s="179"/>
      <c r="H11" s="128"/>
      <c r="I11" s="130"/>
    </row>
    <row r="12" spans="1:9" ht="15" customHeight="1">
      <c r="A12" s="159"/>
      <c r="B12" s="36">
        <v>10</v>
      </c>
      <c r="C12" s="166"/>
      <c r="D12" s="167"/>
      <c r="E12" s="167"/>
      <c r="F12" s="167"/>
      <c r="G12" s="179"/>
      <c r="H12" s="128"/>
      <c r="I12" s="130"/>
    </row>
    <row r="13" spans="1:9" ht="15" customHeight="1">
      <c r="A13" s="159"/>
      <c r="B13" s="36">
        <v>11</v>
      </c>
      <c r="C13" s="166"/>
      <c r="D13" s="167"/>
      <c r="E13" s="167"/>
      <c r="F13" s="167"/>
      <c r="G13" s="179"/>
      <c r="H13" s="128"/>
      <c r="I13" s="130"/>
    </row>
    <row r="14" spans="1:9" ht="129.75" customHeight="1">
      <c r="A14" s="159"/>
      <c r="B14" s="36">
        <v>12</v>
      </c>
      <c r="C14" s="169"/>
      <c r="D14" s="170"/>
      <c r="E14" s="170"/>
      <c r="F14" s="170"/>
      <c r="G14" s="180"/>
      <c r="H14" s="153"/>
      <c r="I14" s="130"/>
    </row>
    <row r="21" ht="12.75" customHeight="1"/>
  </sheetData>
  <mergeCells count="10">
    <mergeCell ref="A2:B2"/>
    <mergeCell ref="H2:I2"/>
    <mergeCell ref="A3:A14"/>
    <mergeCell ref="C3:G3"/>
    <mergeCell ref="C4:G4"/>
    <mergeCell ref="C5:G5"/>
    <mergeCell ref="C6:G6"/>
    <mergeCell ref="C7:I8"/>
    <mergeCell ref="D9:G9"/>
    <mergeCell ref="C10:G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3"/>
  <sheetViews>
    <sheetView workbookViewId="0">
      <selection activeCell="V22" sqref="V22"/>
    </sheetView>
  </sheetViews>
  <sheetFormatPr defaultRowHeight="12.75"/>
  <cols>
    <col min="1" max="1" width="3.1640625" customWidth="1"/>
    <col min="2" max="2" width="22.6640625" customWidth="1"/>
    <col min="3" max="3" width="10.6640625" customWidth="1"/>
    <col min="4" max="5" width="10.83203125" customWidth="1"/>
    <col min="6" max="6" width="10.6640625" customWidth="1"/>
    <col min="7" max="7" width="10.83203125" customWidth="1"/>
    <col min="8" max="8" width="14.6640625" customWidth="1"/>
    <col min="9" max="9" width="11.1640625" customWidth="1"/>
    <col min="10" max="10" width="17.1640625" customWidth="1"/>
  </cols>
  <sheetData>
    <row r="1" spans="1:10" ht="50.25" customHeight="1">
      <c r="A1" s="1"/>
      <c r="B1" s="85" t="s">
        <v>178</v>
      </c>
      <c r="C1" s="85"/>
      <c r="D1" s="85"/>
      <c r="E1" s="85"/>
      <c r="F1" s="85"/>
      <c r="G1" s="85"/>
      <c r="H1" s="85"/>
      <c r="I1" s="85"/>
      <c r="J1" s="85"/>
    </row>
    <row r="2" spans="1:10" ht="13.5" customHeight="1">
      <c r="A2" s="54"/>
      <c r="B2" s="37" t="s">
        <v>179</v>
      </c>
      <c r="C2" s="38">
        <v>0.125</v>
      </c>
      <c r="D2" s="86" t="s">
        <v>180</v>
      </c>
      <c r="E2" s="87"/>
      <c r="F2" s="87"/>
      <c r="G2" s="87"/>
      <c r="H2" s="87"/>
      <c r="I2" s="87"/>
      <c r="J2" s="87"/>
    </row>
    <row r="3" spans="1:10" ht="13.5" customHeight="1">
      <c r="A3" s="54"/>
      <c r="B3" s="37" t="s">
        <v>181</v>
      </c>
      <c r="C3" s="39">
        <v>3.34</v>
      </c>
      <c r="D3" s="86"/>
      <c r="E3" s="87"/>
      <c r="F3" s="87"/>
      <c r="G3" s="87"/>
      <c r="H3" s="87"/>
      <c r="I3" s="87"/>
      <c r="J3" s="87"/>
    </row>
    <row r="4" spans="1:10" ht="23.25" customHeight="1">
      <c r="A4" s="10"/>
      <c r="B4" s="81"/>
      <c r="C4" s="81"/>
      <c r="D4" s="47"/>
      <c r="E4" s="47"/>
      <c r="F4" s="47"/>
      <c r="G4" s="47"/>
      <c r="H4" s="47"/>
      <c r="I4" s="47"/>
      <c r="J4" s="47"/>
    </row>
    <row r="5" spans="1:10" ht="13.5" customHeight="1">
      <c r="A5" s="67"/>
      <c r="B5" s="47"/>
      <c r="C5" s="68"/>
      <c r="D5" s="88" t="s">
        <v>182</v>
      </c>
      <c r="E5" s="89"/>
      <c r="F5" s="90"/>
      <c r="G5" s="88" t="s">
        <v>183</v>
      </c>
      <c r="H5" s="89"/>
      <c r="I5" s="90"/>
      <c r="J5" s="45"/>
    </row>
    <row r="6" spans="1:10" ht="13.5" customHeight="1">
      <c r="A6" s="44"/>
      <c r="B6" s="40" t="s">
        <v>184</v>
      </c>
      <c r="C6" s="40" t="s">
        <v>185</v>
      </c>
      <c r="D6" s="41" t="s">
        <v>186</v>
      </c>
      <c r="E6" s="41" t="s">
        <v>187</v>
      </c>
      <c r="F6" s="41" t="s">
        <v>188</v>
      </c>
      <c r="G6" s="41" t="s">
        <v>186</v>
      </c>
      <c r="H6" s="42" t="s">
        <v>187</v>
      </c>
      <c r="I6" s="42" t="s">
        <v>188</v>
      </c>
      <c r="J6" s="45"/>
    </row>
    <row r="7" spans="1:10" ht="13.5" customHeight="1">
      <c r="A7" s="44"/>
      <c r="B7" s="40" t="s">
        <v>189</v>
      </c>
      <c r="C7" s="43">
        <v>500</v>
      </c>
      <c r="D7" s="39">
        <v>0.5</v>
      </c>
      <c r="E7" s="39">
        <v>0.55000000000000004</v>
      </c>
      <c r="F7" s="9"/>
      <c r="G7" s="9"/>
      <c r="H7" s="9"/>
      <c r="I7" s="9"/>
      <c r="J7" s="45"/>
    </row>
    <row r="8" spans="1:10" ht="13.5" customHeight="1">
      <c r="A8" s="44"/>
      <c r="B8" s="40" t="s">
        <v>190</v>
      </c>
      <c r="C8" s="43">
        <v>200</v>
      </c>
      <c r="D8" s="39">
        <v>2.57</v>
      </c>
      <c r="E8" s="39">
        <v>2.7</v>
      </c>
      <c r="F8" s="9"/>
      <c r="G8" s="9"/>
      <c r="H8" s="9"/>
      <c r="I8" s="9"/>
      <c r="J8" s="45"/>
    </row>
    <row r="9" spans="1:10" ht="13.5" customHeight="1">
      <c r="A9" s="44"/>
      <c r="B9" s="40" t="s">
        <v>191</v>
      </c>
      <c r="C9" s="43">
        <v>300</v>
      </c>
      <c r="D9" s="39">
        <v>5</v>
      </c>
      <c r="E9" s="39">
        <v>5.5</v>
      </c>
      <c r="F9" s="9"/>
      <c r="G9" s="9"/>
      <c r="H9" s="9"/>
      <c r="I9" s="9"/>
      <c r="J9" s="45"/>
    </row>
    <row r="10" spans="1:10" ht="13.5" customHeight="1">
      <c r="A10" s="44"/>
      <c r="B10" s="40" t="s">
        <v>192</v>
      </c>
      <c r="C10" s="43">
        <v>1000</v>
      </c>
      <c r="D10" s="39">
        <v>0.15</v>
      </c>
      <c r="E10" s="39">
        <v>0.25</v>
      </c>
      <c r="F10" s="9"/>
      <c r="G10" s="9"/>
      <c r="H10" s="9"/>
      <c r="I10" s="9"/>
      <c r="J10" s="45"/>
    </row>
    <row r="11" spans="1:10" ht="13.5" customHeight="1">
      <c r="A11" s="44"/>
      <c r="B11" s="40" t="s">
        <v>193</v>
      </c>
      <c r="C11" s="43">
        <v>1000</v>
      </c>
      <c r="D11" s="39">
        <v>0.15</v>
      </c>
      <c r="E11" s="39">
        <v>0.25</v>
      </c>
      <c r="F11" s="9"/>
      <c r="G11" s="9"/>
      <c r="H11" s="9"/>
      <c r="I11" s="9"/>
      <c r="J11" s="45"/>
    </row>
    <row r="12" spans="1:10" ht="13.5" customHeight="1">
      <c r="A12" s="44"/>
      <c r="B12" s="40" t="s">
        <v>194</v>
      </c>
      <c r="C12" s="43">
        <v>200</v>
      </c>
      <c r="D12" s="39">
        <v>3</v>
      </c>
      <c r="E12" s="39">
        <v>3.5</v>
      </c>
      <c r="F12" s="9"/>
      <c r="G12" s="9"/>
      <c r="H12" s="9"/>
      <c r="I12" s="9"/>
      <c r="J12" s="45"/>
    </row>
    <row r="13" spans="1:10" ht="13.5" customHeight="1">
      <c r="A13" s="44"/>
      <c r="B13" s="40" t="s">
        <v>195</v>
      </c>
      <c r="C13" s="43">
        <v>500</v>
      </c>
      <c r="D13" s="39">
        <v>0.25</v>
      </c>
      <c r="E13" s="39">
        <v>0.3</v>
      </c>
      <c r="F13" s="9"/>
      <c r="G13" s="9"/>
      <c r="H13" s="9"/>
      <c r="I13" s="9"/>
      <c r="J13" s="45"/>
    </row>
    <row r="14" spans="1:10" ht="13.5" customHeight="1">
      <c r="A14" s="44"/>
      <c r="B14" s="40" t="s">
        <v>196</v>
      </c>
      <c r="C14" s="43">
        <v>500</v>
      </c>
      <c r="D14" s="39">
        <v>0.35</v>
      </c>
      <c r="E14" s="39">
        <v>0.45</v>
      </c>
      <c r="F14" s="9"/>
      <c r="G14" s="9"/>
      <c r="H14" s="9"/>
      <c r="I14" s="9"/>
      <c r="J14" s="45"/>
    </row>
    <row r="15" spans="1:10" ht="13.5" customHeight="1">
      <c r="A15" s="44"/>
      <c r="B15" s="40" t="s">
        <v>197</v>
      </c>
      <c r="C15" s="43">
        <v>50</v>
      </c>
      <c r="D15" s="39">
        <v>6</v>
      </c>
      <c r="E15" s="39">
        <v>6.5</v>
      </c>
      <c r="F15" s="9"/>
      <c r="G15" s="9"/>
      <c r="H15" s="9"/>
      <c r="I15" s="9"/>
      <c r="J15" s="45"/>
    </row>
    <row r="16" spans="1:10" ht="13.5" customHeight="1">
      <c r="A16" s="44"/>
      <c r="B16" s="40" t="s">
        <v>198</v>
      </c>
      <c r="C16" s="43">
        <v>100</v>
      </c>
      <c r="D16" s="39">
        <v>3.14</v>
      </c>
      <c r="E16" s="39">
        <v>4</v>
      </c>
      <c r="F16" s="9"/>
      <c r="G16" s="9"/>
      <c r="H16" s="9"/>
      <c r="I16" s="9"/>
      <c r="J16" s="45"/>
    </row>
    <row r="17" spans="1:10" ht="13.5" customHeight="1">
      <c r="A17" s="44"/>
      <c r="B17" s="40" t="s">
        <v>199</v>
      </c>
      <c r="C17" s="43">
        <v>100</v>
      </c>
      <c r="D17" s="39">
        <v>5.68</v>
      </c>
      <c r="E17" s="39">
        <v>6</v>
      </c>
      <c r="F17" s="9"/>
      <c r="G17" s="9"/>
      <c r="H17" s="9"/>
      <c r="I17" s="9"/>
      <c r="J17" s="45"/>
    </row>
    <row r="18" spans="1:10" ht="13.5" customHeight="1">
      <c r="A18" s="44"/>
      <c r="B18" s="40" t="s">
        <v>200</v>
      </c>
      <c r="C18" s="9"/>
      <c r="D18" s="9"/>
      <c r="E18" s="9"/>
      <c r="F18" s="9"/>
      <c r="G18" s="9"/>
      <c r="H18" s="9"/>
      <c r="I18" s="9"/>
      <c r="J18" s="45"/>
    </row>
    <row r="19" spans="1:10" ht="408.95" customHeight="1">
      <c r="A19" s="69" t="s">
        <v>201</v>
      </c>
      <c r="B19" s="61"/>
      <c r="C19" s="61"/>
      <c r="D19" s="61"/>
      <c r="E19" s="61"/>
      <c r="F19" s="61"/>
      <c r="G19" s="61"/>
      <c r="H19" s="61"/>
      <c r="I19" s="61"/>
      <c r="J19" s="61"/>
    </row>
    <row r="20" spans="1:10" ht="33.200000000000003" customHeight="1">
      <c r="A20" s="91"/>
      <c r="B20" s="92"/>
      <c r="C20" s="92"/>
      <c r="D20" s="92"/>
      <c r="E20" s="92"/>
      <c r="F20" s="92"/>
      <c r="G20" s="92"/>
      <c r="H20" s="92"/>
      <c r="I20" s="92"/>
      <c r="J20" s="92"/>
    </row>
    <row r="23" spans="1:10" ht="12.75" customHeight="1"/>
  </sheetData>
  <mergeCells count="11">
    <mergeCell ref="A19:J20"/>
    <mergeCell ref="A5:C5"/>
    <mergeCell ref="D5:F5"/>
    <mergeCell ref="G5:I5"/>
    <mergeCell ref="J5:J18"/>
    <mergeCell ref="A6:A18"/>
    <mergeCell ref="B1:J1"/>
    <mergeCell ref="A2:A3"/>
    <mergeCell ref="D2:J3"/>
    <mergeCell ref="B4:C4"/>
    <mergeCell ref="D4:J4"/>
  </mergeCells>
  <hyperlinks>
    <hyperlink ref="A19" r:id="rId1" display="http://lorlando.blogspot.com/" xr:uid="{00000000-0004-0000-0E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Table 1</vt:lpstr>
      <vt:lpstr>Table 4</vt:lpstr>
      <vt:lpstr>Table 8</vt:lpstr>
      <vt:lpstr>Table 11</vt:lpstr>
      <vt:lpstr>Table 13</vt:lpstr>
      <vt:lpstr>Table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(Microsoft Word - Revis\343o Excel)</dc:title>
  <dc:creator>luis</dc:creator>
  <cp:lastModifiedBy>Fatec</cp:lastModifiedBy>
  <dcterms:created xsi:type="dcterms:W3CDTF">2026-03-10T14:05:36Z</dcterms:created>
  <dcterms:modified xsi:type="dcterms:W3CDTF">2026-03-10T15:04:41Z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2011-07-15T00:00:00Z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2026-03-10T00:00:00Z</vt:filetime>
  </property>
  <property fmtid="{D5CDD505-2E9C-101B-9397-08002B2CF9AE}" pid="5" name="Producer">
    <vt:lpwstr>GPL Ghostscript 8.15</vt:lpwstr>
  </property>
</Properties>
</file>